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filterPrivacy="1" codeName="ThisWorkbook" defaultThemeVersion="124226"/>
  <bookViews>
    <workbookView xWindow="240" yWindow="108" windowWidth="14808" windowHeight="8016" firstSheet="4" activeTab="4"/>
  </bookViews>
  <sheets>
    <sheet name="Run" sheetId="1" r:id="rId1"/>
    <sheet name="BMS Requests" sheetId="116" r:id="rId2"/>
    <sheet name="Budget Status" sheetId="117" r:id="rId3"/>
    <sheet name="Required Budget Information" sheetId="118" r:id="rId4"/>
    <sheet name="Master Tracker" sheetId="119" r:id="rId5"/>
  </sheets>
  <definedNames>
    <definedName name="CByBudgetItem">#REF!</definedName>
  </definedNames>
  <calcPr calcId="171027"/>
</workbook>
</file>

<file path=xl/calcChain.xml><?xml version="1.0" encoding="utf-8"?>
<calcChain xmlns="http://schemas.openxmlformats.org/spreadsheetml/2006/main">
  <c r="J2" i="119" l="1"/>
  <c r="G2" i="119"/>
  <c r="F2" i="119"/>
  <c r="E2" i="119"/>
  <c r="D2" i="119"/>
  <c r="C2" i="119"/>
  <c r="B2" i="119"/>
  <c r="J3" i="119"/>
  <c r="G3" i="119"/>
  <c r="F3" i="119"/>
  <c r="E3" i="119"/>
  <c r="D3" i="119"/>
  <c r="C3" i="119"/>
  <c r="B3" i="119"/>
  <c r="J4" i="119"/>
  <c r="G4" i="119"/>
  <c r="F4" i="119"/>
  <c r="E4" i="119"/>
  <c r="D4" i="119"/>
  <c r="C4" i="119"/>
  <c r="B4" i="119"/>
  <c r="J5" i="119"/>
  <c r="G5" i="119"/>
  <c r="F5" i="119"/>
  <c r="E5" i="119"/>
  <c r="D5" i="119"/>
  <c r="C5" i="119"/>
  <c r="B5" i="119"/>
  <c r="J6" i="119"/>
  <c r="G6" i="119"/>
  <c r="F6" i="119"/>
  <c r="E6" i="119"/>
  <c r="D6" i="119"/>
  <c r="C6" i="119"/>
  <c r="B6" i="119"/>
  <c r="J7" i="119"/>
  <c r="G7" i="119"/>
  <c r="F7" i="119"/>
  <c r="E7" i="119"/>
  <c r="D7" i="119"/>
  <c r="C7" i="119"/>
  <c r="B7" i="119"/>
  <c r="J8" i="119"/>
  <c r="G8" i="119"/>
  <c r="F8" i="119"/>
  <c r="E8" i="119"/>
  <c r="D8" i="119"/>
  <c r="C8" i="119"/>
  <c r="B8" i="119"/>
  <c r="J9" i="119"/>
  <c r="G9" i="119"/>
  <c r="F9" i="119"/>
  <c r="E9" i="119"/>
  <c r="D9" i="119"/>
  <c r="C9" i="119"/>
  <c r="B9" i="119"/>
  <c r="J10" i="119"/>
  <c r="G10" i="119"/>
  <c r="F10" i="119"/>
  <c r="E10" i="119"/>
  <c r="D10" i="119"/>
  <c r="C10" i="119"/>
  <c r="B10" i="119"/>
  <c r="J11" i="119"/>
  <c r="G11" i="119"/>
  <c r="F11" i="119"/>
  <c r="E11" i="119"/>
  <c r="D11" i="119"/>
  <c r="C11" i="119"/>
  <c r="B11" i="119"/>
  <c r="J12" i="119"/>
  <c r="G12" i="119"/>
  <c r="F12" i="119"/>
  <c r="E12" i="119"/>
  <c r="D12" i="119"/>
  <c r="C12" i="119"/>
  <c r="B12" i="119"/>
  <c r="J13" i="119"/>
  <c r="G13" i="119"/>
  <c r="F13" i="119"/>
  <c r="E13" i="119"/>
  <c r="D13" i="119"/>
  <c r="C13" i="119"/>
  <c r="B13" i="119"/>
  <c r="J14" i="119"/>
  <c r="G14" i="119"/>
  <c r="F14" i="119"/>
  <c r="E14" i="119"/>
  <c r="D14" i="119"/>
  <c r="C14" i="119"/>
  <c r="B14" i="119"/>
  <c r="J15" i="119"/>
  <c r="G15" i="119"/>
  <c r="F15" i="119"/>
  <c r="E15" i="119"/>
  <c r="D15" i="119"/>
  <c r="C15" i="119"/>
  <c r="B15" i="119"/>
  <c r="J16" i="119"/>
  <c r="G16" i="119"/>
  <c r="F16" i="119"/>
  <c r="E16" i="119"/>
  <c r="D16" i="119"/>
  <c r="C16" i="119"/>
  <c r="B16" i="119"/>
  <c r="J17" i="119"/>
  <c r="G17" i="119"/>
  <c r="F17" i="119"/>
  <c r="E17" i="119"/>
  <c r="D17" i="119"/>
  <c r="C17" i="119"/>
  <c r="B17" i="119"/>
  <c r="J18" i="119"/>
  <c r="G18" i="119"/>
  <c r="F18" i="119"/>
  <c r="E18" i="119"/>
  <c r="D18" i="119"/>
  <c r="C18" i="119"/>
  <c r="B18" i="119"/>
  <c r="J28" i="119"/>
  <c r="G28" i="119"/>
  <c r="F28" i="119"/>
  <c r="E28" i="119"/>
  <c r="D28" i="119"/>
  <c r="C28" i="119"/>
  <c r="B28" i="119"/>
  <c r="J49" i="119"/>
  <c r="G49" i="119"/>
  <c r="F49" i="119"/>
  <c r="E49" i="119"/>
  <c r="D49" i="119"/>
  <c r="C49" i="119"/>
  <c r="B49" i="119"/>
  <c r="J52" i="119"/>
  <c r="G52" i="119"/>
  <c r="F52" i="119"/>
  <c r="E52" i="119"/>
  <c r="D52" i="119"/>
  <c r="C52" i="119"/>
  <c r="B52" i="119"/>
  <c r="J75" i="119"/>
  <c r="G75" i="119"/>
  <c r="F75" i="119"/>
  <c r="E75" i="119"/>
  <c r="D75" i="119"/>
  <c r="C75" i="119"/>
  <c r="B75" i="119"/>
  <c r="J76" i="119"/>
  <c r="G76" i="119"/>
  <c r="F76" i="119"/>
  <c r="E76" i="119"/>
  <c r="D76" i="119"/>
  <c r="C76" i="119"/>
  <c r="B76" i="119"/>
  <c r="J79" i="119"/>
  <c r="G79" i="119"/>
  <c r="F79" i="119"/>
  <c r="E79" i="119"/>
  <c r="D79" i="119"/>
  <c r="C79" i="119"/>
  <c r="B79" i="119"/>
  <c r="J80" i="119"/>
  <c r="G80" i="119"/>
  <c r="F80" i="119"/>
  <c r="E80" i="119"/>
  <c r="D80" i="119"/>
  <c r="C80" i="119"/>
  <c r="B80" i="119"/>
  <c r="J81" i="119"/>
  <c r="G81" i="119"/>
  <c r="F81" i="119"/>
  <c r="E81" i="119"/>
  <c r="D81" i="119"/>
  <c r="C81" i="119"/>
  <c r="B81" i="119"/>
  <c r="J82" i="119"/>
  <c r="G82" i="119"/>
  <c r="F82" i="119"/>
  <c r="E82" i="119"/>
  <c r="D82" i="119"/>
  <c r="C82" i="119"/>
  <c r="B82" i="119"/>
  <c r="J83" i="119"/>
  <c r="G83" i="119"/>
  <c r="F83" i="119"/>
  <c r="E83" i="119"/>
  <c r="D83" i="119"/>
  <c r="C83" i="119"/>
  <c r="B83" i="119"/>
  <c r="J84" i="119"/>
  <c r="G84" i="119"/>
  <c r="F84" i="119"/>
  <c r="E84" i="119"/>
  <c r="D84" i="119"/>
  <c r="C84" i="119"/>
  <c r="B84" i="119"/>
  <c r="J85" i="119"/>
  <c r="G85" i="119"/>
  <c r="F85" i="119"/>
  <c r="E85" i="119"/>
  <c r="D85" i="119"/>
  <c r="C85" i="119"/>
  <c r="B85" i="119"/>
  <c r="J89" i="119"/>
  <c r="G89" i="119"/>
  <c r="F89" i="119"/>
  <c r="E89" i="119"/>
  <c r="D89" i="119"/>
  <c r="C89" i="119"/>
  <c r="B89" i="119"/>
  <c r="J90" i="119"/>
  <c r="G90" i="119"/>
  <c r="F90" i="119"/>
  <c r="E90" i="119"/>
  <c r="D90" i="119"/>
  <c r="C90" i="119"/>
  <c r="B90" i="119"/>
  <c r="J93" i="119"/>
  <c r="G93" i="119"/>
  <c r="F93" i="119"/>
  <c r="E93" i="119"/>
  <c r="D93" i="119"/>
  <c r="C93" i="119"/>
  <c r="B93" i="119"/>
  <c r="J94" i="119"/>
  <c r="G94" i="119"/>
  <c r="F94" i="119"/>
  <c r="E94" i="119"/>
  <c r="D94" i="119"/>
  <c r="C94" i="119"/>
  <c r="B94" i="119"/>
  <c r="J95" i="119"/>
  <c r="G95" i="119"/>
  <c r="F95" i="119"/>
  <c r="E95" i="119"/>
  <c r="D95" i="119"/>
  <c r="C95" i="119"/>
  <c r="B95" i="119"/>
  <c r="J101" i="119"/>
  <c r="G101" i="119"/>
  <c r="F101" i="119"/>
  <c r="E101" i="119"/>
  <c r="D101" i="119"/>
  <c r="C101" i="119"/>
  <c r="B101" i="119"/>
  <c r="J102" i="119"/>
  <c r="G102" i="119"/>
  <c r="F102" i="119"/>
  <c r="E102" i="119"/>
  <c r="D102" i="119"/>
  <c r="C102" i="119"/>
  <c r="B102" i="119"/>
  <c r="J118" i="119"/>
  <c r="G118" i="119"/>
  <c r="F118" i="119"/>
  <c r="E118" i="119"/>
  <c r="D118" i="119"/>
  <c r="C118" i="119"/>
  <c r="B118" i="119"/>
  <c r="J119" i="119"/>
  <c r="G119" i="119"/>
  <c r="F119" i="119"/>
  <c r="E119" i="119"/>
  <c r="D119" i="119"/>
  <c r="C119" i="119"/>
  <c r="B119" i="119"/>
  <c r="J123" i="119"/>
  <c r="G123" i="119"/>
  <c r="F123" i="119"/>
  <c r="E123" i="119"/>
  <c r="D123" i="119"/>
  <c r="C123" i="119"/>
  <c r="B123" i="119"/>
  <c r="J125" i="119"/>
  <c r="G125" i="119"/>
  <c r="F125" i="119"/>
  <c r="E125" i="119"/>
  <c r="D125" i="119"/>
  <c r="C125" i="119"/>
  <c r="B125" i="119"/>
  <c r="J126" i="119"/>
  <c r="G126" i="119"/>
  <c r="F126" i="119"/>
  <c r="E126" i="119"/>
  <c r="D126" i="119"/>
  <c r="C126" i="119"/>
  <c r="B126" i="119"/>
  <c r="J127" i="119"/>
  <c r="G127" i="119"/>
  <c r="F127" i="119"/>
  <c r="E127" i="119"/>
  <c r="D127" i="119"/>
  <c r="C127" i="119"/>
  <c r="B127" i="119"/>
  <c r="J128" i="119"/>
  <c r="G128" i="119"/>
  <c r="F128" i="119"/>
  <c r="E128" i="119"/>
  <c r="D128" i="119"/>
  <c r="C128" i="119"/>
  <c r="B128" i="119"/>
  <c r="J131" i="119"/>
  <c r="G131" i="119"/>
  <c r="F131" i="119"/>
  <c r="E131" i="119"/>
  <c r="D131" i="119"/>
  <c r="C131" i="119"/>
  <c r="B131" i="119"/>
  <c r="J134" i="119"/>
  <c r="G134" i="119"/>
  <c r="F134" i="119"/>
  <c r="E134" i="119"/>
  <c r="D134" i="119"/>
  <c r="C134" i="119"/>
  <c r="B134" i="119"/>
  <c r="J157" i="119"/>
  <c r="G157" i="119"/>
  <c r="F157" i="119"/>
  <c r="E157" i="119"/>
  <c r="D157" i="119"/>
  <c r="C157" i="119"/>
  <c r="B157" i="119"/>
  <c r="J162" i="119"/>
  <c r="G162" i="119"/>
  <c r="F162" i="119"/>
  <c r="E162" i="119"/>
  <c r="D162" i="119"/>
  <c r="C162" i="119"/>
  <c r="B162" i="119"/>
  <c r="J167" i="119"/>
  <c r="G167" i="119"/>
  <c r="F167" i="119"/>
  <c r="E167" i="119"/>
  <c r="D167" i="119"/>
  <c r="C167" i="119"/>
  <c r="B167" i="119"/>
  <c r="J171" i="119"/>
  <c r="G171" i="119"/>
  <c r="F171" i="119"/>
  <c r="E171" i="119"/>
  <c r="D171" i="119"/>
  <c r="C171" i="119"/>
  <c r="B171" i="119"/>
  <c r="J176" i="119"/>
  <c r="G176" i="119"/>
  <c r="F176" i="119"/>
  <c r="E176" i="119"/>
  <c r="D176" i="119"/>
  <c r="C176" i="119"/>
  <c r="B176" i="119"/>
  <c r="J177" i="119"/>
  <c r="G177" i="119"/>
  <c r="F177" i="119"/>
  <c r="E177" i="119"/>
  <c r="D177" i="119"/>
  <c r="C177" i="119"/>
  <c r="B177" i="119"/>
  <c r="J178" i="119"/>
  <c r="G178" i="119"/>
  <c r="F178" i="119"/>
  <c r="E178" i="119"/>
  <c r="D178" i="119"/>
  <c r="C178" i="119"/>
  <c r="B178" i="119"/>
  <c r="J179" i="119"/>
  <c r="G179" i="119"/>
  <c r="F179" i="119"/>
  <c r="E179" i="119"/>
  <c r="D179" i="119"/>
  <c r="C179" i="119"/>
  <c r="B179" i="119"/>
  <c r="J180" i="119"/>
  <c r="G180" i="119"/>
  <c r="F180" i="119"/>
  <c r="E180" i="119"/>
  <c r="D180" i="119"/>
  <c r="C180" i="119"/>
  <c r="B180" i="119"/>
  <c r="J185" i="119"/>
  <c r="G185" i="119"/>
  <c r="F185" i="119"/>
  <c r="E185" i="119"/>
  <c r="D185" i="119"/>
  <c r="C185" i="119"/>
  <c r="B185" i="119"/>
  <c r="J186" i="119"/>
  <c r="G186" i="119"/>
  <c r="F186" i="119"/>
  <c r="E186" i="119"/>
  <c r="D186" i="119"/>
  <c r="C186" i="119"/>
  <c r="B186" i="119"/>
  <c r="J187" i="119"/>
  <c r="G187" i="119"/>
  <c r="F187" i="119"/>
  <c r="E187" i="119"/>
  <c r="D187" i="119"/>
  <c r="C187" i="119"/>
  <c r="B187" i="119"/>
  <c r="J189" i="119"/>
  <c r="G189" i="119"/>
  <c r="F189" i="119"/>
  <c r="E189" i="119"/>
  <c r="D189" i="119"/>
  <c r="C189" i="119"/>
  <c r="B189" i="119"/>
  <c r="J191" i="119"/>
  <c r="G191" i="119"/>
  <c r="F191" i="119"/>
  <c r="E191" i="119"/>
  <c r="D191" i="119"/>
  <c r="C191" i="119"/>
  <c r="B191" i="119"/>
  <c r="J193" i="119"/>
  <c r="G193" i="119"/>
  <c r="F193" i="119"/>
  <c r="E193" i="119"/>
  <c r="D193" i="119"/>
  <c r="C193" i="119"/>
  <c r="B193" i="119"/>
  <c r="J195" i="119"/>
  <c r="G195" i="119"/>
  <c r="F195" i="119"/>
  <c r="E195" i="119"/>
  <c r="D195" i="119"/>
  <c r="C195" i="119"/>
  <c r="B195" i="119"/>
  <c r="J203" i="119"/>
  <c r="G203" i="119"/>
  <c r="F203" i="119"/>
  <c r="E203" i="119"/>
  <c r="D203" i="119"/>
  <c r="C203" i="119"/>
  <c r="B203" i="119"/>
  <c r="J204" i="119"/>
  <c r="G204" i="119"/>
  <c r="F204" i="119"/>
  <c r="E204" i="119"/>
  <c r="D204" i="119"/>
  <c r="C204" i="119"/>
  <c r="B204" i="119"/>
  <c r="J207" i="119"/>
  <c r="G207" i="119"/>
  <c r="F207" i="119"/>
  <c r="E207" i="119"/>
  <c r="D207" i="119"/>
  <c r="C207" i="119"/>
  <c r="B207" i="119"/>
  <c r="J209" i="119"/>
  <c r="G209" i="119"/>
  <c r="F209" i="119"/>
  <c r="E209" i="119"/>
  <c r="D209" i="119"/>
  <c r="C209" i="119"/>
  <c r="B209" i="119"/>
  <c r="J212" i="119"/>
  <c r="G212" i="119"/>
  <c r="F212" i="119"/>
  <c r="E212" i="119"/>
  <c r="D212" i="119"/>
  <c r="C212" i="119"/>
  <c r="B212" i="119"/>
  <c r="J219" i="119"/>
  <c r="G219" i="119"/>
  <c r="F219" i="119"/>
  <c r="E219" i="119"/>
  <c r="D219" i="119"/>
  <c r="C219" i="119"/>
  <c r="B219" i="119"/>
  <c r="J225" i="119"/>
  <c r="G225" i="119"/>
  <c r="F225" i="119"/>
  <c r="E225" i="119"/>
  <c r="D225" i="119"/>
  <c r="C225" i="119"/>
  <c r="B225" i="119"/>
  <c r="J226" i="119"/>
  <c r="G226" i="119"/>
  <c r="F226" i="119"/>
  <c r="E226" i="119"/>
  <c r="D226" i="119"/>
  <c r="C226" i="119"/>
  <c r="B226" i="119"/>
  <c r="J227" i="119"/>
  <c r="G227" i="119"/>
  <c r="F227" i="119"/>
  <c r="E227" i="119"/>
  <c r="D227" i="119"/>
  <c r="C227" i="119"/>
  <c r="B227" i="119"/>
  <c r="J228" i="119"/>
  <c r="G228" i="119"/>
  <c r="F228" i="119"/>
  <c r="E228" i="119"/>
  <c r="D228" i="119"/>
  <c r="C228" i="119"/>
  <c r="B228" i="119"/>
  <c r="J229" i="119"/>
  <c r="G229" i="119"/>
  <c r="F229" i="119"/>
  <c r="E229" i="119"/>
  <c r="D229" i="119"/>
  <c r="C229" i="119"/>
  <c r="B229" i="119"/>
  <c r="J230" i="119"/>
  <c r="G230" i="119"/>
  <c r="F230" i="119"/>
  <c r="E230" i="119"/>
  <c r="D230" i="119"/>
  <c r="C230" i="119"/>
  <c r="B230" i="119"/>
  <c r="J231" i="119"/>
  <c r="G231" i="119"/>
  <c r="F231" i="119"/>
  <c r="E231" i="119"/>
  <c r="D231" i="119"/>
  <c r="C231" i="119"/>
  <c r="B231" i="119"/>
  <c r="P239" i="119"/>
  <c r="P238" i="119"/>
  <c r="P237" i="119"/>
  <c r="P236" i="119"/>
  <c r="P235" i="119"/>
  <c r="P234" i="119"/>
  <c r="P233" i="119"/>
  <c r="P232" i="119"/>
  <c r="P231" i="119"/>
  <c r="P230" i="119"/>
  <c r="P229" i="119"/>
  <c r="P228" i="119"/>
  <c r="P227" i="119"/>
  <c r="P226" i="119"/>
  <c r="P225" i="119"/>
  <c r="P224" i="119"/>
  <c r="P223" i="119"/>
  <c r="P222" i="119"/>
  <c r="P221" i="119"/>
  <c r="P220" i="119"/>
  <c r="P219" i="119"/>
  <c r="P218" i="119"/>
  <c r="P217" i="119"/>
  <c r="P216" i="119"/>
  <c r="P215" i="119"/>
  <c r="P214" i="119"/>
  <c r="P213" i="119"/>
  <c r="P212" i="119"/>
  <c r="P211" i="119"/>
  <c r="P210" i="119"/>
  <c r="P209" i="119"/>
  <c r="P208" i="119"/>
  <c r="P207" i="119"/>
  <c r="P206" i="119"/>
  <c r="P205" i="119"/>
  <c r="P204" i="119"/>
  <c r="P203" i="119"/>
  <c r="P202" i="119"/>
  <c r="P201" i="119"/>
  <c r="P200" i="119"/>
  <c r="P199" i="119"/>
  <c r="P198" i="119"/>
  <c r="P197" i="119"/>
  <c r="P196" i="119"/>
  <c r="P195" i="119"/>
  <c r="P194" i="119"/>
  <c r="P193" i="119"/>
  <c r="P192" i="119"/>
  <c r="P191" i="119"/>
  <c r="P190" i="119"/>
  <c r="P189" i="119"/>
  <c r="P188" i="119"/>
  <c r="P187" i="119"/>
  <c r="P186" i="119"/>
  <c r="P185" i="119"/>
  <c r="P184" i="119"/>
  <c r="P183" i="119"/>
  <c r="P182" i="119"/>
  <c r="P181" i="119"/>
  <c r="P180" i="119"/>
  <c r="P179" i="119"/>
  <c r="P178" i="119"/>
  <c r="P177" i="119"/>
  <c r="P176" i="119"/>
  <c r="P175" i="119"/>
  <c r="P174" i="119"/>
  <c r="P173" i="119"/>
  <c r="P172" i="119"/>
  <c r="P171" i="119"/>
  <c r="P170" i="119"/>
  <c r="P169" i="119"/>
  <c r="P168" i="119"/>
  <c r="P167" i="119"/>
  <c r="P166" i="119"/>
  <c r="P165" i="119"/>
  <c r="P164" i="119"/>
  <c r="P163" i="119"/>
  <c r="P162" i="119"/>
  <c r="P161" i="119"/>
  <c r="P160" i="119"/>
  <c r="P159" i="119"/>
  <c r="P158" i="119"/>
  <c r="P157" i="119"/>
  <c r="P156" i="119"/>
  <c r="P155" i="119"/>
  <c r="P154" i="119"/>
  <c r="P153" i="119"/>
  <c r="P152" i="119"/>
  <c r="P151" i="119"/>
  <c r="P150" i="119"/>
  <c r="P149" i="119"/>
  <c r="P148" i="119"/>
  <c r="P147" i="119"/>
  <c r="P146" i="119"/>
  <c r="P145" i="119"/>
  <c r="P144" i="119"/>
  <c r="P143" i="119"/>
  <c r="P142" i="119"/>
  <c r="P141" i="119"/>
  <c r="P140" i="119"/>
  <c r="P139" i="119"/>
  <c r="P138" i="119"/>
  <c r="P137" i="119"/>
  <c r="P136" i="119"/>
  <c r="P135" i="119"/>
  <c r="P134" i="119"/>
  <c r="P133" i="119"/>
  <c r="P132" i="119"/>
  <c r="P131" i="119"/>
  <c r="P130" i="119"/>
  <c r="P129" i="119"/>
  <c r="P128" i="119"/>
  <c r="P127" i="119"/>
  <c r="P126" i="119"/>
  <c r="P125" i="119"/>
  <c r="P124" i="119"/>
  <c r="P123" i="119"/>
  <c r="P122" i="119"/>
  <c r="P121" i="119"/>
  <c r="P120" i="119"/>
  <c r="P119" i="119"/>
  <c r="P118" i="119"/>
  <c r="P117" i="119"/>
  <c r="P116" i="119"/>
  <c r="P115" i="119"/>
  <c r="P114" i="119"/>
  <c r="P113" i="119"/>
  <c r="P112" i="119"/>
  <c r="P111" i="119"/>
  <c r="P110" i="119"/>
  <c r="P109" i="119"/>
  <c r="P108" i="119"/>
  <c r="P107" i="119"/>
  <c r="P106" i="119"/>
  <c r="P105" i="119"/>
  <c r="P104" i="119"/>
  <c r="P103" i="119"/>
  <c r="P102" i="119"/>
  <c r="P101" i="119"/>
  <c r="P100" i="119"/>
  <c r="P99" i="119"/>
  <c r="P98" i="119"/>
  <c r="P97" i="119"/>
  <c r="P96" i="119"/>
  <c r="P95" i="119"/>
  <c r="P94" i="119"/>
  <c r="P93" i="119"/>
  <c r="P92" i="119"/>
  <c r="P91" i="119"/>
  <c r="P90" i="119"/>
  <c r="P89" i="119"/>
  <c r="P88" i="119"/>
  <c r="P87" i="119"/>
  <c r="P86" i="119"/>
  <c r="P85" i="119"/>
  <c r="P84" i="119"/>
  <c r="P83" i="119"/>
  <c r="P82" i="119"/>
  <c r="P81" i="119"/>
  <c r="P80" i="119"/>
  <c r="P79" i="119"/>
  <c r="P78" i="119"/>
  <c r="P77" i="119"/>
  <c r="P76" i="119"/>
  <c r="P75" i="119"/>
  <c r="P74" i="119"/>
  <c r="P73" i="119"/>
  <c r="P72" i="119"/>
  <c r="P71" i="119"/>
  <c r="P70" i="119"/>
  <c r="P69" i="119"/>
  <c r="P68" i="119"/>
  <c r="P67" i="119"/>
  <c r="P66" i="119"/>
  <c r="P65" i="119"/>
  <c r="P64" i="119"/>
  <c r="P63" i="119"/>
  <c r="P62" i="119"/>
  <c r="P61" i="119"/>
  <c r="P60" i="119"/>
  <c r="P59" i="119"/>
  <c r="P58" i="119"/>
  <c r="P57" i="119"/>
  <c r="P56" i="119"/>
  <c r="P55" i="119"/>
  <c r="P54" i="119"/>
  <c r="P53" i="119"/>
  <c r="P52" i="119"/>
  <c r="P51" i="119"/>
  <c r="P50" i="119"/>
  <c r="P49" i="119"/>
  <c r="P48" i="119"/>
  <c r="P47" i="119"/>
  <c r="P46" i="119"/>
  <c r="P45" i="119"/>
  <c r="P44" i="119"/>
  <c r="P43" i="119"/>
  <c r="P42" i="119"/>
  <c r="P41" i="119"/>
  <c r="P40" i="119"/>
  <c r="P39" i="119"/>
  <c r="P38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P24" i="119"/>
  <c r="P23" i="119"/>
  <c r="P22" i="119"/>
  <c r="P21" i="119"/>
  <c r="P20" i="119"/>
  <c r="P19" i="119"/>
  <c r="P18" i="119"/>
  <c r="P17" i="119"/>
  <c r="P16" i="119"/>
  <c r="P15" i="119"/>
  <c r="P14" i="119"/>
  <c r="P13" i="119"/>
  <c r="P12" i="119"/>
  <c r="P11" i="119"/>
  <c r="P10" i="119"/>
  <c r="P9" i="119"/>
  <c r="P8" i="119"/>
  <c r="P7" i="119"/>
  <c r="P6" i="119"/>
  <c r="P5" i="119"/>
  <c r="P4" i="119"/>
  <c r="P3" i="119"/>
  <c r="P2" i="119"/>
</calcChain>
</file>

<file path=xl/sharedStrings.xml><?xml version="1.0" encoding="utf-8"?>
<sst xmlns="http://schemas.openxmlformats.org/spreadsheetml/2006/main" count="6447" uniqueCount="1200">
  <si>
    <t>Request ID</t>
  </si>
  <si>
    <t>Budget Period</t>
  </si>
  <si>
    <t>Organization</t>
  </si>
  <si>
    <t>Name</t>
  </si>
  <si>
    <t>Submitted At</t>
  </si>
  <si>
    <t>Status</t>
  </si>
  <si>
    <t>Requested 
Amount</t>
  </si>
  <si>
    <t>THE BLACK STUDENT UNION</t>
  </si>
  <si>
    <t>Pending</t>
  </si>
  <si>
    <t>BR0525176</t>
  </si>
  <si>
    <t>SGA Budget Period FY18</t>
  </si>
  <si>
    <t>Student Government Association</t>
  </si>
  <si>
    <t>SGA Reserves</t>
  </si>
  <si>
    <t>2017-04-05 03:07:18 -0400</t>
  </si>
  <si>
    <t>BR0525170</t>
  </si>
  <si>
    <t>Executive Honoraria and Presidential Business Account</t>
  </si>
  <si>
    <t>2017-04-05 02:33:10 -0400</t>
  </si>
  <si>
    <t>BR0525167</t>
  </si>
  <si>
    <t>SGA Elections</t>
  </si>
  <si>
    <t>2017-04-05 01:58:00 -0400</t>
  </si>
  <si>
    <t>BR0525147</t>
  </si>
  <si>
    <t>General Operations (Telephone, Office Supplies)</t>
  </si>
  <si>
    <t>2017-04-05 00:47:47 -0400</t>
  </si>
  <si>
    <t>AR Club</t>
  </si>
  <si>
    <t>Augmented Reality Equipment</t>
  </si>
  <si>
    <t>BR0523720</t>
  </si>
  <si>
    <t>Jammin' at Maryland</t>
  </si>
  <si>
    <t>Jam Sessions Budget - August 2017 - November 2017</t>
  </si>
  <si>
    <t>2017-04-03 16:58:58 -0400</t>
  </si>
  <si>
    <t>BR0523753</t>
  </si>
  <si>
    <t>SGA Budget Period FY17</t>
  </si>
  <si>
    <t>The Terrapin Record Label</t>
  </si>
  <si>
    <t>Rock the Row Event Budget</t>
  </si>
  <si>
    <t>2017-04-03 16:48:08 -0400</t>
  </si>
  <si>
    <t>BR0523748</t>
  </si>
  <si>
    <t>2017-04-03 16:46:13 -0400</t>
  </si>
  <si>
    <t>BR0523746</t>
  </si>
  <si>
    <t>NutriTerps</t>
  </si>
  <si>
    <t>Cooking Demonstrations</t>
  </si>
  <si>
    <t>2017-04-03 16:44:56 -0400</t>
  </si>
  <si>
    <t>BR0521529</t>
  </si>
  <si>
    <t>Caribbean Fever Dance Troupe</t>
  </si>
  <si>
    <t>General Operations</t>
  </si>
  <si>
    <t>2017-04-03 16:40:52 -0400</t>
  </si>
  <si>
    <t>BR0487276</t>
  </si>
  <si>
    <t>American Medical Student Association (AMSA)</t>
  </si>
  <si>
    <t>Fall 2017 General Body Meeting Rooms</t>
  </si>
  <si>
    <t>2017-04-03 16:38:43 -0400</t>
  </si>
  <si>
    <t>BR0523545</t>
  </si>
  <si>
    <t>Generics and Treblemakers A Cappella Singers</t>
  </si>
  <si>
    <t>UMD Treblemakers First Ever Studio Album</t>
  </si>
  <si>
    <t>2017-04-03 16:36:36 -0400</t>
  </si>
  <si>
    <t>BR0523732</t>
  </si>
  <si>
    <t>Maryland Latin Dance Club</t>
  </si>
  <si>
    <t>Free Weekly Classes: September 2017</t>
  </si>
  <si>
    <t>2017-04-03 16:36:34 -0400</t>
  </si>
  <si>
    <t>BR0523634</t>
  </si>
  <si>
    <t>Professional Videos of Spring Concert</t>
  </si>
  <si>
    <t>2017-04-03 16:35:35 -0400</t>
  </si>
  <si>
    <t>BR0523717</t>
  </si>
  <si>
    <t>CARIBBEAN STUDENTS ASSOCIATION (CSA)</t>
  </si>
  <si>
    <t>Autumn Gala</t>
  </si>
  <si>
    <t>2017-04-03 16:32:16 -0400</t>
  </si>
  <si>
    <t>BR0521408</t>
  </si>
  <si>
    <t>Fall Fete</t>
  </si>
  <si>
    <t>2017-04-03 16:30:58 -0400</t>
  </si>
  <si>
    <t>BR0523721</t>
  </si>
  <si>
    <t>Terrapin Beats Society</t>
  </si>
  <si>
    <t>2017-04-03 16:28:44 -0400</t>
  </si>
  <si>
    <t>BR0521406</t>
  </si>
  <si>
    <t>Labor Day Bus Trip</t>
  </si>
  <si>
    <t>2017-04-03 16:26:26 -0400</t>
  </si>
  <si>
    <t>BR0523630</t>
  </si>
  <si>
    <t>WMUC</t>
  </si>
  <si>
    <t>WMUC General Operations - April 2017</t>
  </si>
  <si>
    <t>2017-04-03 16:22:13 -0400</t>
  </si>
  <si>
    <t>BR0521648</t>
  </si>
  <si>
    <t>Cru</t>
  </si>
  <si>
    <t>Welcome Week</t>
  </si>
  <si>
    <t>2017-04-03 16:12:12 -0400</t>
  </si>
  <si>
    <t>BR0521315</t>
  </si>
  <si>
    <t>2017-04-03 16:10:27 -0400</t>
  </si>
  <si>
    <t>BR0523681</t>
  </si>
  <si>
    <t>Transfer2Terp Organization</t>
  </si>
  <si>
    <t>T2TO Challenge Course Retreat</t>
  </si>
  <si>
    <t>2017-04-03 16:07:43 -0400</t>
  </si>
  <si>
    <t>BR0523457</t>
  </si>
  <si>
    <t>Pandemonium A Cappella Singers Association</t>
  </si>
  <si>
    <t>PandemoniUM’s Fall Mid-Semester Show</t>
  </si>
  <si>
    <t>2017-04-03 16:02:59 -0400</t>
  </si>
  <si>
    <t>BR0523536</t>
  </si>
  <si>
    <t>PandemoniUM CD Recording</t>
  </si>
  <si>
    <t>2017-04-03 15:58:39 -0400</t>
  </si>
  <si>
    <t>JUGGLING CLUB</t>
  </si>
  <si>
    <t>Congress of Jugglers 2017</t>
  </si>
  <si>
    <t>BR0523567</t>
  </si>
  <si>
    <t>2017-04-03 15:56:05 -0400</t>
  </si>
  <si>
    <t>BR0523547</t>
  </si>
  <si>
    <t>Required Budget Information</t>
  </si>
  <si>
    <t>2017-04-03 15:55:30 -0400</t>
  </si>
  <si>
    <t>BR0523662</t>
  </si>
  <si>
    <t>WMUC Telephone Bills, First Half of FY18</t>
  </si>
  <si>
    <t>2017-04-03 15:55:05 -0400</t>
  </si>
  <si>
    <t>BR0523589</t>
  </si>
  <si>
    <t>Battle of the Classes</t>
  </si>
  <si>
    <t>2017-04-03 15:52:42 -0400</t>
  </si>
  <si>
    <t>BR0523155</t>
  </si>
  <si>
    <t>Maryland Masti</t>
  </si>
  <si>
    <t>Maryland Masti 12 Garba</t>
  </si>
  <si>
    <t>2017-04-03 15:39:29 -0400</t>
  </si>
  <si>
    <t>BR0521586</t>
  </si>
  <si>
    <t>Robotics at Maryland</t>
  </si>
  <si>
    <t>Robotics at Maryland AUVSI Competition Items</t>
  </si>
  <si>
    <t>2017-04-03 15:36:00 -0400</t>
  </si>
  <si>
    <t>BR0523627</t>
  </si>
  <si>
    <t>Ballet Company M</t>
  </si>
  <si>
    <t>2017-04-03 15:35:58 -0400</t>
  </si>
  <si>
    <t>BR0523625</t>
  </si>
  <si>
    <t>2017-04-03 15:35:32 -0400</t>
  </si>
  <si>
    <t>BR0521621</t>
  </si>
  <si>
    <t>Fall Retreat</t>
  </si>
  <si>
    <t>2017-04-03 15:33:00 -0400</t>
  </si>
  <si>
    <t>BR0523517</t>
  </si>
  <si>
    <t>Ometz</t>
  </si>
  <si>
    <t>Sermon Slam</t>
  </si>
  <si>
    <t>2017-04-03 15:30:21 -0400</t>
  </si>
  <si>
    <t>BR0521611</t>
  </si>
  <si>
    <t>Summer Retreat</t>
  </si>
  <si>
    <t>2017-04-03 15:25:41 -0400</t>
  </si>
  <si>
    <t>BR0523153</t>
  </si>
  <si>
    <t>Maryland Minza</t>
  </si>
  <si>
    <t>Maryland Minza April Budget</t>
  </si>
  <si>
    <t>2017-04-03 15:21:38 -0400</t>
  </si>
  <si>
    <t>BR0523562</t>
  </si>
  <si>
    <t>Unity Lock In</t>
  </si>
  <si>
    <t>2017-04-03 14:54:58 -0400</t>
  </si>
  <si>
    <t>BR0523555</t>
  </si>
  <si>
    <t>Mezumenet</t>
  </si>
  <si>
    <t>Recording Mezumenet's 3rd CD</t>
  </si>
  <si>
    <t>2017-04-03 14:51:53 -0400</t>
  </si>
  <si>
    <t>BR0523163</t>
  </si>
  <si>
    <t>Vietnamese Student Association</t>
  </si>
  <si>
    <t>2017-04-03 14:48:45 -0400</t>
  </si>
  <si>
    <t>BR0523448</t>
  </si>
  <si>
    <t>Unsung Heroes of UMD</t>
  </si>
  <si>
    <t>2017-04-03 14:48:08 -0400</t>
  </si>
  <si>
    <t>BR0521173</t>
  </si>
  <si>
    <t>Lunar Lanterns</t>
  </si>
  <si>
    <t>2017-04-03 14:47:07 -0400</t>
  </si>
  <si>
    <t>BR0523537</t>
  </si>
  <si>
    <t>Maryland Music Business Society</t>
  </si>
  <si>
    <t>General Operations FY18</t>
  </si>
  <si>
    <t>2017-04-03 14:37:26 -0400</t>
  </si>
  <si>
    <t>BR0521624</t>
  </si>
  <si>
    <t>General Operations - Web Domain</t>
  </si>
  <si>
    <t>2017-04-03 14:37:06 -0400</t>
  </si>
  <si>
    <t>BR0523529</t>
  </si>
  <si>
    <t>2017-04-03 14:32:46 -0400</t>
  </si>
  <si>
    <t>BR0523424</t>
  </si>
  <si>
    <t>Worker Appreciation Event</t>
  </si>
  <si>
    <t>2017-04-03 14:31:21 -0400</t>
  </si>
  <si>
    <t>BR0523510</t>
  </si>
  <si>
    <t>ANOKHA</t>
  </si>
  <si>
    <t>Anokha Album</t>
  </si>
  <si>
    <t>2017-04-03 14:16:42 -0400</t>
  </si>
  <si>
    <t>BR0523505</t>
  </si>
  <si>
    <t>Nerf Activity Society</t>
  </si>
  <si>
    <t>Nerf 2017: At the Stamp 5</t>
  </si>
  <si>
    <t>2017-04-03 14:14:51 -0400</t>
  </si>
  <si>
    <t>BR0523502</t>
  </si>
  <si>
    <t>Nerf 2017: At the Stamp 4</t>
  </si>
  <si>
    <t>2017-04-03 14:12:20 -0400</t>
  </si>
  <si>
    <t>BR0523500</t>
  </si>
  <si>
    <t>Kedma</t>
  </si>
  <si>
    <t>Scholar in Residence: Dovi Nadel</t>
  </si>
  <si>
    <t>2017-04-03 14:11:19 -0400</t>
  </si>
  <si>
    <t>BR0519899</t>
  </si>
  <si>
    <t>Maryland Eventing Team</t>
  </si>
  <si>
    <t>The USEA Intercollegiate Eventing Team Championship at the Virginia Horse Trials (2017)</t>
  </si>
  <si>
    <t>2017-04-03 14:10:30 -0400</t>
  </si>
  <si>
    <t>BR0523497</t>
  </si>
  <si>
    <t>Nerf 2017: At the Stamp 3</t>
  </si>
  <si>
    <t>2017-04-03 14:09:23 -0400</t>
  </si>
  <si>
    <t>BR0523494</t>
  </si>
  <si>
    <t>No Taboo. Period.</t>
  </si>
  <si>
    <t>No Taboo Operations Expenses</t>
  </si>
  <si>
    <t>2017-04-03 14:07:42 -0400</t>
  </si>
  <si>
    <t>BR0523488</t>
  </si>
  <si>
    <t>Nerf 2017: At the Stamp 2.5</t>
  </si>
  <si>
    <t>2017-04-03 14:01:06 -0400</t>
  </si>
  <si>
    <t>BR0523481</t>
  </si>
  <si>
    <t>Atonement through Yoga FINAL3</t>
  </si>
  <si>
    <t>2017-04-03 13:55:02 -0400</t>
  </si>
  <si>
    <t>BR0523479</t>
  </si>
  <si>
    <t>Nerf 2017: At the Stamp</t>
  </si>
  <si>
    <t>2017-04-03 13:53:38 -0400</t>
  </si>
  <si>
    <t>BR0523342</t>
  </si>
  <si>
    <t>Terrapin Trail Club</t>
  </si>
  <si>
    <t>Terrapin Trail Club Intro Trip - Fall 2017</t>
  </si>
  <si>
    <t>2017-04-03 13:50:50 -0400</t>
  </si>
  <si>
    <t>BR0523323</t>
  </si>
  <si>
    <t>Terrapin Trail Club General Operations - April</t>
  </si>
  <si>
    <t>2017-04-03 13:50:22 -0400</t>
  </si>
  <si>
    <t>BR0523435</t>
  </si>
  <si>
    <t>Terps Racing</t>
  </si>
  <si>
    <t>SGA Funding Application - April 2017</t>
  </si>
  <si>
    <t>2017-04-03 13:49:04 -0400</t>
  </si>
  <si>
    <t>BR0523149</t>
  </si>
  <si>
    <t>Terrapin Hackers</t>
  </si>
  <si>
    <t>Terrapin Hackers general operations</t>
  </si>
  <si>
    <t>2017-04-03 13:37:53 -0400</t>
  </si>
  <si>
    <t>BR0523468</t>
  </si>
  <si>
    <t>Apparel</t>
  </si>
  <si>
    <t>2017-04-03 13:33:37 -0400</t>
  </si>
  <si>
    <t>BR0523464</t>
  </si>
  <si>
    <t>Anokha Spring Show 2017</t>
  </si>
  <si>
    <t>2017-04-03 13:27:52 -0400</t>
  </si>
  <si>
    <t>BR0523453</t>
  </si>
  <si>
    <t>Student Dental Advisory Board</t>
  </si>
  <si>
    <t>2017-04-03 13:18:59 -0400</t>
  </si>
  <si>
    <t>BR0523431</t>
  </si>
  <si>
    <t>2017-04-03 13:00:21 -0400</t>
  </si>
  <si>
    <t>BR0521599</t>
  </si>
  <si>
    <t>D4 Athletics</t>
  </si>
  <si>
    <t>Equipment</t>
  </si>
  <si>
    <t>2017-04-03 12:54:33 -0400</t>
  </si>
  <si>
    <t>BR0521616</t>
  </si>
  <si>
    <t>TerpVets: Student Veteran Organization</t>
  </si>
  <si>
    <t>TerpVets Year in Review</t>
  </si>
  <si>
    <t>2017-04-03 12:51:14 -0400</t>
  </si>
  <si>
    <t>BR0523425</t>
  </si>
  <si>
    <t>Adventist Student Fellowship</t>
  </si>
  <si>
    <t>First Look Fair</t>
  </si>
  <si>
    <t>2017-04-03 12:51:11 -0400</t>
  </si>
  <si>
    <t>BR0523303</t>
  </si>
  <si>
    <t>JEWISH STUDENT UNION</t>
  </si>
  <si>
    <t>JSU Semi-Formal</t>
  </si>
  <si>
    <t>2017-04-03 12:36:48 -0400</t>
  </si>
  <si>
    <t>BR0520370</t>
  </si>
  <si>
    <t>Avirah</t>
  </si>
  <si>
    <t>Avirah Rehearsals Fall 2017</t>
  </si>
  <si>
    <t>2017-04-03 12:36:39 -0400</t>
  </si>
  <si>
    <t>BR0523110</t>
  </si>
  <si>
    <t>Maryland Dhoom</t>
  </si>
  <si>
    <t>Maryland Dhoom April Budget</t>
  </si>
  <si>
    <t>2017-04-03 12:28:25 -0400</t>
  </si>
  <si>
    <t>BR0523367</t>
  </si>
  <si>
    <t>Catholic Terps</t>
  </si>
  <si>
    <t>Good Morning Commuters Sponsor</t>
  </si>
  <si>
    <t>2017-04-03 12:23:55 -0400</t>
  </si>
  <si>
    <t>BR0523069</t>
  </si>
  <si>
    <t>FILIPINO CULTURAL ASSOCIATION</t>
  </si>
  <si>
    <t>Cultural Retreat</t>
  </si>
  <si>
    <t>2017-04-03 11:50:07 -0400</t>
  </si>
  <si>
    <t>BR0523344</t>
  </si>
  <si>
    <t>NAACP</t>
  </si>
  <si>
    <t>2017 NAACP Image Awards</t>
  </si>
  <si>
    <t>2017-04-03 11:48:22 -0400</t>
  </si>
  <si>
    <t>BR0522879</t>
  </si>
  <si>
    <t>FIND Conference Carpooling</t>
  </si>
  <si>
    <t>2017-04-03 11:44:59 -0400</t>
  </si>
  <si>
    <t>BR0523140</t>
  </si>
  <si>
    <t>Faux Paz</t>
  </si>
  <si>
    <t>Single Recording and Music Video</t>
  </si>
  <si>
    <t>2017-04-03 11:44:11 -0400</t>
  </si>
  <si>
    <t>BR0523339</t>
  </si>
  <si>
    <t>Catholic Terps Shirts</t>
  </si>
  <si>
    <t>2017-04-03 11:43:43 -0400</t>
  </si>
  <si>
    <t>BR0523273</t>
  </si>
  <si>
    <t>Maryland Student Legislature</t>
  </si>
  <si>
    <t>2017-18 MSL Event Fee</t>
  </si>
  <si>
    <t>2017-04-03 11:29:46 -0400</t>
  </si>
  <si>
    <t>BR0523256</t>
  </si>
  <si>
    <t>Yogi Terps</t>
  </si>
  <si>
    <t>AcroYoga with Maren Hill</t>
  </si>
  <si>
    <t>2017-04-03 11:24:35 -0400</t>
  </si>
  <si>
    <t>BR0523315</t>
  </si>
  <si>
    <t>Glow Flow</t>
  </si>
  <si>
    <t>2017-04-03 11:21:12 -0400</t>
  </si>
  <si>
    <t>BR0523313</t>
  </si>
  <si>
    <t>Image Awards</t>
  </si>
  <si>
    <t>2017-04-03 11:20:06 -0400</t>
  </si>
  <si>
    <t>BR0519788</t>
  </si>
  <si>
    <t>Help Center</t>
  </si>
  <si>
    <t>Training Weekend</t>
  </si>
  <si>
    <t>2017-04-03 11:15:13 -0400</t>
  </si>
  <si>
    <t>BR0523145</t>
  </si>
  <si>
    <t>JSU Welcome Back Pool Party</t>
  </si>
  <si>
    <t>2017-04-03 11:12:41 -0400</t>
  </si>
  <si>
    <t>BR0523286</t>
  </si>
  <si>
    <t>DaCadence a Cappella</t>
  </si>
  <si>
    <t>DaCadence Back To School Concert Fall 2017</t>
  </si>
  <si>
    <t>2017-04-03 11:11:59 -0400</t>
  </si>
  <si>
    <t>BR0523107</t>
  </si>
  <si>
    <t>Calisthenics Club</t>
  </si>
  <si>
    <t>Calisthenics Club Budget</t>
  </si>
  <si>
    <t>2017-04-03 10:54:39 -0400</t>
  </si>
  <si>
    <t>BR0523111</t>
  </si>
  <si>
    <t>Calisthenics Club Budget  (cont)</t>
  </si>
  <si>
    <t>2017-04-03 10:53:49 -0400</t>
  </si>
  <si>
    <t>BR0523194</t>
  </si>
  <si>
    <t>LUTHERAN STUDENT ASSOCIATION</t>
  </si>
  <si>
    <t>High Ropes Course</t>
  </si>
  <si>
    <t>2017-04-03 07:28:53 -0400</t>
  </si>
  <si>
    <t>BR0523193</t>
  </si>
  <si>
    <t>Hiking Trip</t>
  </si>
  <si>
    <t>2017-04-03 07:18:15 -0400</t>
  </si>
  <si>
    <t>BR0523192</t>
  </si>
  <si>
    <t>Apple Picking</t>
  </si>
  <si>
    <t>2017-04-03 07:08:30 -0400</t>
  </si>
  <si>
    <t>BR0523191</t>
  </si>
  <si>
    <t>Corn Maze</t>
  </si>
  <si>
    <t>2017-04-03 07:00:36 -0400</t>
  </si>
  <si>
    <t>BR0523189</t>
  </si>
  <si>
    <t>Orioles Game</t>
  </si>
  <si>
    <t>2017-04-03 06:53:56 -0400</t>
  </si>
  <si>
    <t>BR0523188</t>
  </si>
  <si>
    <t>Ocean City Retreat</t>
  </si>
  <si>
    <t>2017-04-03 06:34:31 -0400</t>
  </si>
  <si>
    <t>BR0523175</t>
  </si>
  <si>
    <t>InterVarsity Christian Fellowship</t>
  </si>
  <si>
    <t>Ohana Fall 2018 (8/31-11/9)</t>
  </si>
  <si>
    <t>2017-04-03 03:17:04 -0400</t>
  </si>
  <si>
    <t>BR0523168</t>
  </si>
  <si>
    <t>Bridge DC</t>
  </si>
  <si>
    <t>2017-04-03 02:38:16 -0400</t>
  </si>
  <si>
    <t>BR0523157</t>
  </si>
  <si>
    <t>Ascend - Maryland Chapter</t>
  </si>
  <si>
    <t>Fall 2017 Essentials</t>
  </si>
  <si>
    <t>2017-04-03 02:14:54 -0400</t>
  </si>
  <si>
    <t>BR0523156</t>
  </si>
  <si>
    <t>ChemE Car @ UMD</t>
  </si>
  <si>
    <t>2017 AIChE Chem-E-Car National Competition</t>
  </si>
  <si>
    <t>2017-04-03 02:09:11 -0400</t>
  </si>
  <si>
    <t>BR0523114</t>
  </si>
  <si>
    <t>Active Minds at Maryland</t>
  </si>
  <si>
    <t>What I Be</t>
  </si>
  <si>
    <t>2017-04-03 00:11:30 -0400</t>
  </si>
  <si>
    <t>BR0523108</t>
  </si>
  <si>
    <t>Capital Congress</t>
  </si>
  <si>
    <t>2017-04-02 23:57:41 -0400</t>
  </si>
  <si>
    <t>BR0523104</t>
  </si>
  <si>
    <t>DaCadence Back To School Concert</t>
  </si>
  <si>
    <t>2017-04-02 23:38:19 -0400</t>
  </si>
  <si>
    <t>BR0523102</t>
  </si>
  <si>
    <t>Erasable Inc.</t>
  </si>
  <si>
    <t>Erasable Inc. Halloween Show</t>
  </si>
  <si>
    <t>2017-04-02 23:35:45 -0400</t>
  </si>
  <si>
    <t>BR0523096</t>
  </si>
  <si>
    <t>Outdoor Latin Concert</t>
  </si>
  <si>
    <t>2017-04-02 23:27:02 -0400</t>
  </si>
  <si>
    <t>BR0521581</t>
  </si>
  <si>
    <t>Celebration Night</t>
  </si>
  <si>
    <t>2017-04-02 23:18:59 -0400</t>
  </si>
  <si>
    <t>BR0521164</t>
  </si>
  <si>
    <t>Archery Club</t>
  </si>
  <si>
    <t>2017 April Budget 3 - Coaching (November 2017)</t>
  </si>
  <si>
    <t>2017-04-02 22:39:23 -0400</t>
  </si>
  <si>
    <t>BR0521159</t>
  </si>
  <si>
    <t>2017 April Budget 2 - Coaching (October 2017)</t>
  </si>
  <si>
    <t>2017-04-02 22:39:19 -0400</t>
  </si>
  <si>
    <t>BR0521154</t>
  </si>
  <si>
    <t>2017 April Budget 1 - Coaching (September 2017)</t>
  </si>
  <si>
    <t>2017-04-02 22:39:15 -0400</t>
  </si>
  <si>
    <t>BR0521146</t>
  </si>
  <si>
    <t>2017 April Budget 4 - Instructor Training, Tournament Preparation, and Extra Hours</t>
  </si>
  <si>
    <t>2017-04-02 22:39:04 -0400</t>
  </si>
  <si>
    <t>BR0521165</t>
  </si>
  <si>
    <t>2017 April Budget 5 - General Operations</t>
  </si>
  <si>
    <t>2017-04-02 22:38:26 -0400</t>
  </si>
  <si>
    <t>BR0523030</t>
  </si>
  <si>
    <t>Seminary Retreat</t>
  </si>
  <si>
    <t>2017-04-02 21:44:27 -0400</t>
  </si>
  <si>
    <t>BR0523028</t>
  </si>
  <si>
    <t>2017-04-02 21:43:20 -0400</t>
  </si>
  <si>
    <t>BR0520946</t>
  </si>
  <si>
    <t>Student Success Leadership Council</t>
  </si>
  <si>
    <t>FreshCon 2017</t>
  </si>
  <si>
    <t>2017-04-02 21:19:11 -0400</t>
  </si>
  <si>
    <t>BR0522967</t>
  </si>
  <si>
    <t>2017-04-02 21:13:00 -0400</t>
  </si>
  <si>
    <t>BR0521058</t>
  </si>
  <si>
    <t>Pre-Pharmacy Society</t>
  </si>
  <si>
    <t>2017-04-02 20:47:30 -0400</t>
  </si>
  <si>
    <t>BR0522782</t>
  </si>
  <si>
    <t>The Pride</t>
  </si>
  <si>
    <t>Womens Volleyball Fatheads</t>
  </si>
  <si>
    <t>2017-04-02 20:41:51 -0400</t>
  </si>
  <si>
    <t>BR0522596</t>
  </si>
  <si>
    <t>Argentine Tango Club</t>
  </si>
  <si>
    <t>Fall 2017 Budget for Argentine Tango Club Eastern Market Program (up to Nov. 30)</t>
  </si>
  <si>
    <t>2017-04-02 20:23:21 -0400</t>
  </si>
  <si>
    <t>BR0522595</t>
  </si>
  <si>
    <t>Tailgate Games</t>
  </si>
  <si>
    <t>2017-04-02 20:23:19 -0400</t>
  </si>
  <si>
    <t>BR0522445</t>
  </si>
  <si>
    <t>En Camino</t>
  </si>
  <si>
    <t>2017-04-02 20:08:46 -0400</t>
  </si>
  <si>
    <t>BR0522425</t>
  </si>
  <si>
    <t>Tailgate Equipment</t>
  </si>
  <si>
    <t>2017-04-02 20:07:01 -0400</t>
  </si>
  <si>
    <t>BR0522278</t>
  </si>
  <si>
    <t>Tailgate Supplies</t>
  </si>
  <si>
    <t>2017-04-02 19:54:23 -0400</t>
  </si>
  <si>
    <t>BR0522087</t>
  </si>
  <si>
    <t>Fall 2017 Budget for Argentine Tango Club Practicas (up to Nov. 30)</t>
  </si>
  <si>
    <t>2017-04-02 19:40:06 -0400</t>
  </si>
  <si>
    <t>BR0519801</t>
  </si>
  <si>
    <t>Pride Mens Lax</t>
  </si>
  <si>
    <t>2017-04-02 19:35:40 -0400</t>
  </si>
  <si>
    <t>BR0521536</t>
  </si>
  <si>
    <t>Dance Workshop</t>
  </si>
  <si>
    <t>2017-04-02 19:25:49 -0400</t>
  </si>
  <si>
    <t>BR0521901</t>
  </si>
  <si>
    <t>Fall 2017 Budget for Argentine Tango Club (up to Nov. 30)</t>
  </si>
  <si>
    <t>2017-04-02 19:24:41 -0400</t>
  </si>
  <si>
    <t>BR0521692</t>
  </si>
  <si>
    <t>Terrapin Tap Troupe</t>
  </si>
  <si>
    <t>Terrapin Tap Troupe Rehearsal</t>
  </si>
  <si>
    <t>2017-04-02 18:58:37 -0400</t>
  </si>
  <si>
    <t>BR0521663</t>
  </si>
  <si>
    <t>Revolutions Dance Ensemble</t>
  </si>
  <si>
    <t>Fall 2017 Practice Space Rental</t>
  </si>
  <si>
    <t>2017-04-02 18:39:33 -0400</t>
  </si>
  <si>
    <t>BR0521656</t>
  </si>
  <si>
    <t>Justice for Juniors</t>
  </si>
  <si>
    <t>Justice for Juniors-Fall 2017</t>
  </si>
  <si>
    <t>2017-04-02 18:29:46 -0400</t>
  </si>
  <si>
    <t>BR0521639</t>
  </si>
  <si>
    <t>Chapter Camp</t>
  </si>
  <si>
    <t>2017-04-02 17:37:20 -0400</t>
  </si>
  <si>
    <t>BR0521619</t>
  </si>
  <si>
    <t>Gamer Symphony Orchestra</t>
  </si>
  <si>
    <t>GSO FA17 Concert</t>
  </si>
  <si>
    <t>2017-04-02 16:33:40 -0400</t>
  </si>
  <si>
    <t>BR0521602</t>
  </si>
  <si>
    <t>CARing</t>
  </si>
  <si>
    <t>2017-04-02 15:50:05 -0400</t>
  </si>
  <si>
    <t>BR0521595</t>
  </si>
  <si>
    <t>GSO FA17 Band Room Rehearsals [School of Music]</t>
  </si>
  <si>
    <t>2017-04-02 15:28:31 -0400</t>
  </si>
  <si>
    <t>BR0521580</t>
  </si>
  <si>
    <t>GSO FA17 Memorial Chapel Rehearsals</t>
  </si>
  <si>
    <t>2017-04-02 14:49:22 -0400</t>
  </si>
  <si>
    <t>BR0521573</t>
  </si>
  <si>
    <t>Maryland Shakespeare Players</t>
  </si>
  <si>
    <t>Fall Performance</t>
  </si>
  <si>
    <t>2017-04-02 14:07:09 -0400</t>
  </si>
  <si>
    <t>BR0521518</t>
  </si>
  <si>
    <t>AIChE Chem-E-Car National Competition</t>
  </si>
  <si>
    <t>2017-04-02 02:30:25 -0400</t>
  </si>
  <si>
    <t>BR0521513</t>
  </si>
  <si>
    <t>MARYLAND PARLIAMENTARY DEBATE SOCIETY</t>
  </si>
  <si>
    <t>Columbia Tournament</t>
  </si>
  <si>
    <t>2017-04-02 01:00:01 -0400</t>
  </si>
  <si>
    <t>BR0521512</t>
  </si>
  <si>
    <t>UVA Tournament</t>
  </si>
  <si>
    <t>2017-04-02 00:53:48 -0400</t>
  </si>
  <si>
    <t>BR0521509</t>
  </si>
  <si>
    <t>GW Tournament</t>
  </si>
  <si>
    <t>2017-04-02 00:43:54 -0400</t>
  </si>
  <si>
    <t>BR0521506</t>
  </si>
  <si>
    <t>Penn Tournament</t>
  </si>
  <si>
    <t>2017-04-02 00:35:47 -0400</t>
  </si>
  <si>
    <t>BR0521505</t>
  </si>
  <si>
    <t>Harvard Tournament</t>
  </si>
  <si>
    <t>2017-04-02 00:26:34 -0400</t>
  </si>
  <si>
    <t>BR0521503</t>
  </si>
  <si>
    <t>Swarthmore Tournament</t>
  </si>
  <si>
    <t>2017-04-02 00:17:49 -0400</t>
  </si>
  <si>
    <t>BR0521501</t>
  </si>
  <si>
    <t>2017-04-02 00:06:02 -0400</t>
  </si>
  <si>
    <t>BR0521420</t>
  </si>
  <si>
    <t>William And Mary Tournament</t>
  </si>
  <si>
    <t>2017-04-01 18:00:39 -0400</t>
  </si>
  <si>
    <t>BR0521414</t>
  </si>
  <si>
    <t>Hopkins 2017</t>
  </si>
  <si>
    <t>2017-04-01 17:28:33 -0400</t>
  </si>
  <si>
    <t>BR0515103</t>
  </si>
  <si>
    <t>Community Learning Garden at the University of Maryland</t>
  </si>
  <si>
    <t>Garden Tool Budget Request</t>
  </si>
  <si>
    <t>2017-03-31 16:51:45 -0400</t>
  </si>
  <si>
    <t>BR0521093</t>
  </si>
  <si>
    <t>2017-03-31 16:49:10 -0400</t>
  </si>
  <si>
    <t>BR0518589</t>
  </si>
  <si>
    <t>MARYPIRG</t>
  </si>
  <si>
    <t>General Operations (Required Budget Information FY18 Only)</t>
  </si>
  <si>
    <t>2017-03-31 15:54:00 -0400</t>
  </si>
  <si>
    <t>BR0518429</t>
  </si>
  <si>
    <t>2017-03-31 15:53:42 -0400</t>
  </si>
  <si>
    <t>BR0519522</t>
  </si>
  <si>
    <t>Enhancing the Sabbath Experience</t>
  </si>
  <si>
    <t>2017-03-29 23:31:59 -0400</t>
  </si>
  <si>
    <t>BR0518940</t>
  </si>
  <si>
    <t>Tianyi Dance Team</t>
  </si>
  <si>
    <t>April Budget for Fall 2017</t>
  </si>
  <si>
    <t>2017-03-29 20:16:54 -0400</t>
  </si>
  <si>
    <t>BR0517090</t>
  </si>
  <si>
    <t>SKETCHUP</t>
  </si>
  <si>
    <t>Sketchup Spring Show</t>
  </si>
  <si>
    <t>2017-03-29 18:32:14 -0400</t>
  </si>
  <si>
    <t>BR0519274</t>
  </si>
  <si>
    <t>Atonement through Yoga</t>
  </si>
  <si>
    <t>2017-03-29 17:49:52 -0400</t>
  </si>
  <si>
    <t>BR0519265</t>
  </si>
  <si>
    <t>Malaveh Malkah Paint Night</t>
  </si>
  <si>
    <t>2017-03-29 17:28:34 -0400</t>
  </si>
  <si>
    <t>BR0518721</t>
  </si>
  <si>
    <t>Rosh HaShana Resolution 5K</t>
  </si>
  <si>
    <t>2017-03-29 17:00:38 -0400</t>
  </si>
  <si>
    <t>BR0518465</t>
  </si>
  <si>
    <t>Agape Campus Christian Fellowship</t>
  </si>
  <si>
    <t>Weekly Meeting w2.0</t>
  </si>
  <si>
    <t>2017-03-28 21:04:42 -0400</t>
  </si>
  <si>
    <t>BR0517260</t>
  </si>
  <si>
    <t>Maryland Equestrian Club</t>
  </si>
  <si>
    <t>April Allocations: Horse Usage</t>
  </si>
  <si>
    <t>2017-03-27 14:54:12 -0400</t>
  </si>
  <si>
    <t>Required</t>
  </si>
  <si>
    <t>Shabbat of Comedy</t>
  </si>
  <si>
    <t>BR0487055</t>
  </si>
  <si>
    <t>MasTERPiece!</t>
  </si>
  <si>
    <t>The Market:Supply Chain Management</t>
  </si>
  <si>
    <t>2017-02-02 16:01:23 -0500</t>
  </si>
  <si>
    <t>BR0486996</t>
  </si>
  <si>
    <t>2017-02-02 15:20:03 -0500</t>
  </si>
  <si>
    <t>SGA Budget Application</t>
  </si>
  <si>
    <t>Eric Augustino</t>
  </si>
  <si>
    <t>Ohana</t>
  </si>
  <si>
    <t>BR0486719</t>
  </si>
  <si>
    <t>InterVarsity: Ohana</t>
  </si>
  <si>
    <t>2017-02-02 03:43:34 -0500</t>
  </si>
  <si>
    <t>Supplies</t>
  </si>
  <si>
    <t>BR0486669</t>
  </si>
  <si>
    <t>2017-02-01 23:31:08 -0500</t>
  </si>
  <si>
    <t>Camp Kesem at the University of Maryland</t>
  </si>
  <si>
    <t>Camp Kesem Table Throw</t>
  </si>
  <si>
    <t>Horse Usage</t>
  </si>
  <si>
    <t>BR0484888</t>
  </si>
  <si>
    <t>2017-01-30 23:17:54 -0500</t>
  </si>
  <si>
    <t>BR0484052</t>
  </si>
  <si>
    <t>2017-01-29 12:36:13 -0500</t>
  </si>
  <si>
    <t>Budget Title</t>
  </si>
  <si>
    <t>Budget Item</t>
  </si>
  <si>
    <t>Budget Category</t>
  </si>
  <si>
    <t>Line Item</t>
  </si>
  <si>
    <t>Requested
Budget</t>
  </si>
  <si>
    <t>*Required Budget Information FY17(MUST COMPLETE)</t>
  </si>
  <si>
    <t>Augmented Reality Headsets</t>
  </si>
  <si>
    <t>Space Rental</t>
  </si>
  <si>
    <t>4970 - Room/Space Rental</t>
  </si>
  <si>
    <t>AV Equipment Rental</t>
  </si>
  <si>
    <t>3950 - Audio Visual Equipment Rental</t>
  </si>
  <si>
    <t>Equipment Rental</t>
  </si>
  <si>
    <t>3717 - Equipment rental</t>
  </si>
  <si>
    <t>Contractual Services</t>
  </si>
  <si>
    <t>3752 - Contractual Services</t>
  </si>
  <si>
    <t>Concert Programs</t>
  </si>
  <si>
    <t>Printing and Copying</t>
  </si>
  <si>
    <t>3718 - Printing &amp; Copying</t>
  </si>
  <si>
    <t>Miscellaneous Supplies</t>
  </si>
  <si>
    <t>3952 - Miscellaneous Supplies</t>
  </si>
  <si>
    <t>Food</t>
  </si>
  <si>
    <t>3746 - Food</t>
  </si>
  <si>
    <t>AV Equipment</t>
  </si>
  <si>
    <t>Dues and Fees</t>
  </si>
  <si>
    <t>4930 - Dues &amp; Fees</t>
  </si>
  <si>
    <t>Office Supplies</t>
  </si>
  <si>
    <t>3916 - Office Supplies</t>
  </si>
  <si>
    <t>Advertising</t>
  </si>
  <si>
    <t>3724 - Advertising</t>
  </si>
  <si>
    <t>Vehicle Rentals</t>
  </si>
  <si>
    <t>3611 - Vehicle Rentals</t>
  </si>
  <si>
    <t>Bus Rental</t>
  </si>
  <si>
    <t>A/V Equipment Rental</t>
  </si>
  <si>
    <t>Sidewalk Chalk</t>
  </si>
  <si>
    <t>Microphones and Sound</t>
  </si>
  <si>
    <t>Memorial Chapel Space</t>
  </si>
  <si>
    <t>Anokha Sweatshirt</t>
  </si>
  <si>
    <t>Wearing Apparel</t>
  </si>
  <si>
    <t>3925 - Wearing Apparel</t>
  </si>
  <si>
    <t>Office Equipment</t>
  </si>
  <si>
    <t>3953 - Office Equipment</t>
  </si>
  <si>
    <t>General Operation</t>
  </si>
  <si>
    <t>Club Shirts</t>
  </si>
  <si>
    <t>Shirts</t>
  </si>
  <si>
    <t>Parallettes</t>
  </si>
  <si>
    <t>Table Throw</t>
  </si>
  <si>
    <t>Flags</t>
  </si>
  <si>
    <t>Student Group Sponsorship</t>
  </si>
  <si>
    <t>In State/Out of State Travel</t>
  </si>
  <si>
    <t>3321 - Out of State Travel</t>
  </si>
  <si>
    <t>Gardening Tools for Use at Work Hours</t>
  </si>
  <si>
    <t>Sports Camera</t>
  </si>
  <si>
    <t>AV Equipment Rentals</t>
  </si>
  <si>
    <t>Concert and Dress Rehearsal Space Rental</t>
  </si>
  <si>
    <t>Hoff Theater Space Rental</t>
  </si>
  <si>
    <t>Filipino Intercollegiate Networking Dialogue (FIND) Incorporated Conference Carpooling</t>
  </si>
  <si>
    <t>UMD Motor Pool</t>
  </si>
  <si>
    <t>Recording, Editing, Mixing, Mastering</t>
  </si>
  <si>
    <t>Filming, Recording, Editing, Publishing</t>
  </si>
  <si>
    <t>Chapter Camp (Conference Fee)</t>
  </si>
  <si>
    <t>Bridge DC Participation Fee</t>
  </si>
  <si>
    <t>Ritchie Coliseum Reservation</t>
  </si>
  <si>
    <t>Hoff Theater Reservation</t>
  </si>
  <si>
    <t>Jugglers Performace Audio and Visual Equipment</t>
  </si>
  <si>
    <t>Prince George's Room Rental</t>
  </si>
  <si>
    <t>Honorarium for David Kilimnick</t>
  </si>
  <si>
    <t>3311 - In State Travel</t>
  </si>
  <si>
    <t>Room Rental</t>
  </si>
  <si>
    <t>Misc. Supplies</t>
  </si>
  <si>
    <t>Van Rental</t>
  </si>
  <si>
    <t>Polo Shirts and Hats</t>
  </si>
  <si>
    <t>AV for Classes</t>
  </si>
  <si>
    <t>Performace team Wearing Apparel</t>
  </si>
  <si>
    <t>Additions to wearing apparel</t>
  </si>
  <si>
    <t>Band for concert</t>
  </si>
  <si>
    <t>Out State travel</t>
  </si>
  <si>
    <t>4920 - Subscription Service</t>
  </si>
  <si>
    <t>Web Domain Fees</t>
  </si>
  <si>
    <t>Tournament Registration</t>
  </si>
  <si>
    <t>Vehicle Rental</t>
  </si>
  <si>
    <t>Van Rentals</t>
  </si>
  <si>
    <t>Insurance</t>
  </si>
  <si>
    <t>Miscellaneous</t>
  </si>
  <si>
    <t>Event Programs</t>
  </si>
  <si>
    <t>Video and Photography</t>
  </si>
  <si>
    <t>Blue Robotics T-200 Thrusters</t>
  </si>
  <si>
    <t>Hitec Brand Shore Power Rgulator</t>
  </si>
  <si>
    <t>NVIDIA Jetson TX1 64-bit ARM A57 CPUs Motherboard/CPU Combo</t>
  </si>
  <si>
    <t>J120-IMU carrier for Jetson TX1</t>
  </si>
  <si>
    <t>R@M logo Stickers</t>
  </si>
  <si>
    <t>R@M logo business cards</t>
  </si>
  <si>
    <t>Hoff Theater Rental - Spring Show</t>
  </si>
  <si>
    <t>Telephone Lines</t>
  </si>
  <si>
    <t>3220 - Telephone</t>
  </si>
  <si>
    <t>Dental Supplies</t>
  </si>
  <si>
    <t>Items for Composites Manufacturing</t>
  </si>
  <si>
    <t>Brake Fluid</t>
  </si>
  <si>
    <t>Audio Video Rental</t>
  </si>
  <si>
    <t>Hall Rental (Hofberg Hall)</t>
  </si>
  <si>
    <t>Table Rental</t>
  </si>
  <si>
    <t>General Operations (Space Rental)</t>
  </si>
  <si>
    <t>Intro Trip- Vehicle Rental</t>
  </si>
  <si>
    <t>Stage Rental - Dylan Hines</t>
  </si>
  <si>
    <t>Performing Artist - Christian Dope</t>
  </si>
  <si>
    <t>Performing Artist - Anti-Hero</t>
  </si>
  <si>
    <t>Performing Artist - tony Kill</t>
  </si>
  <si>
    <t>Performing Artist - Tomato Dodgers</t>
  </si>
  <si>
    <t>Performing Artist - Rann</t>
  </si>
  <si>
    <t>Challenge Course Services</t>
  </si>
  <si>
    <t>Advertising Supplies</t>
  </si>
  <si>
    <t>WMUC General Operations - A/V Equipment</t>
  </si>
  <si>
    <t>Teacher Invoice</t>
  </si>
  <si>
    <t>Glow sticks</t>
  </si>
  <si>
    <t>Photoshoot Fee</t>
  </si>
  <si>
    <t>First Look Fair-Advertising</t>
  </si>
  <si>
    <t>Banner</t>
  </si>
  <si>
    <t>First Look Fair-Misc.</t>
  </si>
  <si>
    <t>3620 Bus Rental (Vehicle Rentals)</t>
  </si>
  <si>
    <t>Album</t>
  </si>
  <si>
    <t>*Required Budget Information FY18 (MUST COMPLETE)</t>
  </si>
  <si>
    <t>Level 1 Archery Instructor Course</t>
  </si>
  <si>
    <t>Tournament Preparation</t>
  </si>
  <si>
    <t>Extra Hours</t>
  </si>
  <si>
    <t>Biweekly Meets</t>
  </si>
  <si>
    <t>Individual Training</t>
  </si>
  <si>
    <t>Fall 2017 Argentine Tango Lessons Contractual Services (up to Nov. 30)</t>
  </si>
  <si>
    <t>Fall 2017 Argentine Tango Lessons Space Rental (up to Nov. 30)</t>
  </si>
  <si>
    <t>Fall 2017 Tango Practicas Space Rentals (up to Nov. 30)</t>
  </si>
  <si>
    <t>Fall 2017 Tango Eastern Market Program Fees (up to Nov. 30)</t>
  </si>
  <si>
    <t>Rehearsal Space</t>
  </si>
  <si>
    <t>Tech Servies</t>
  </si>
  <si>
    <t>Centerpieces</t>
  </si>
  <si>
    <t>Materials for Annual AIChE Chem-E-Car National Competition</t>
  </si>
  <si>
    <t>Conference Fees</t>
  </si>
  <si>
    <t>Cru Cups and Freshman Survival Kits</t>
  </si>
  <si>
    <t>Crupons</t>
  </si>
  <si>
    <t>Bibles</t>
  </si>
  <si>
    <t>Space Rental PG Room</t>
  </si>
  <si>
    <t>Room Reservation: Hard Bargain</t>
  </si>
  <si>
    <t>Chapel Space Reservation</t>
  </si>
  <si>
    <t>Band Room Space Reservation</t>
  </si>
  <si>
    <t>Percussion Equipment Rental</t>
  </si>
  <si>
    <t>SOM Administration Fee for Labor Services</t>
  </si>
  <si>
    <t>Space Rental- Dekelboum and Orchestra/Jazz Room</t>
  </si>
  <si>
    <t>Guest Experience and Crew Expenses</t>
  </si>
  <si>
    <t>Room Reservations</t>
  </si>
  <si>
    <t>Sound Equipment Rental</t>
  </si>
  <si>
    <t>Pool Reservation</t>
  </si>
  <si>
    <t>Space Rental Riggs Alumni Center</t>
  </si>
  <si>
    <t>Justice for Juniors Monday Program</t>
  </si>
  <si>
    <t>Justice for Juniors-Monday</t>
  </si>
  <si>
    <t>RecWell Chapel Field Rental</t>
  </si>
  <si>
    <t>Police Services</t>
  </si>
  <si>
    <t>Paint Supplies</t>
  </si>
  <si>
    <t>Sabbath Decorations</t>
  </si>
  <si>
    <t>Yoga Instructor</t>
  </si>
  <si>
    <t>Honorarium for Dovi Nadel</t>
  </si>
  <si>
    <t>Room Rental for Classes</t>
  </si>
  <si>
    <t>Instructor for Classes</t>
  </si>
  <si>
    <t>Space Rental for Garba Event</t>
  </si>
  <si>
    <t>Technology Services / AV &amp; Sound Equipment</t>
  </si>
  <si>
    <t>Live Band</t>
  </si>
  <si>
    <t>Advertising (Flyers)</t>
  </si>
  <si>
    <t>Motorpools</t>
  </si>
  <si>
    <t>DJ/MC Contract</t>
  </si>
  <si>
    <t>Mixer Decorations</t>
  </si>
  <si>
    <t>Mixer</t>
  </si>
  <si>
    <t>Email Fees August-November</t>
  </si>
  <si>
    <t>Theater Rental</t>
  </si>
  <si>
    <t>Security/Salaries</t>
  </si>
  <si>
    <t>Recording Manager Travel Costs</t>
  </si>
  <si>
    <t>CD Recording Event Costs</t>
  </si>
  <si>
    <t>Space rental at Adele H. Stamp UMD Campus</t>
  </si>
  <si>
    <t>General operations funding</t>
  </si>
  <si>
    <t>Sound Engineering from Liquid 5th</t>
  </si>
  <si>
    <t>The Vocal Company Recording Services</t>
  </si>
  <si>
    <t>3950 Audio/Visual Equipment</t>
  </si>
  <si>
    <t>Practice Space Rental at the Clarice</t>
  </si>
  <si>
    <t>Telephone</t>
  </si>
  <si>
    <t>Elections Budget</t>
  </si>
  <si>
    <t>Student Body President Honorarium</t>
  </si>
  <si>
    <t>Vice President of Financial Affairs Honorarium</t>
  </si>
  <si>
    <t>Presidential Business Account</t>
  </si>
  <si>
    <t>Executive Reserves</t>
  </si>
  <si>
    <t>Legislative Reserves</t>
  </si>
  <si>
    <t>Committee Reserves</t>
  </si>
  <si>
    <t>Tools for space</t>
  </si>
  <si>
    <t>Raspberry PI Zero W development boards</t>
  </si>
  <si>
    <t>Printing flyers</t>
  </si>
  <si>
    <t>Tables, Microphones, and Microphone Stands</t>
  </si>
  <si>
    <t>Telephone Bills</t>
  </si>
  <si>
    <t>Submitted</t>
  </si>
  <si>
    <t>Request Name</t>
  </si>
  <si>
    <t>President Name</t>
  </si>
  <si>
    <t>President's Phone Number</t>
  </si>
  <si>
    <t>Presidents' Email Address</t>
  </si>
  <si>
    <t>Treasurer's Name</t>
  </si>
  <si>
    <t>Treasurer's Phone Number</t>
  </si>
  <si>
    <t>Treasurer's Email Address</t>
  </si>
  <si>
    <t>Name of Program</t>
  </si>
  <si>
    <t>Date of Program/Purchase (Date of program  OR date of payment, whichever is SOONER).</t>
  </si>
  <si>
    <t>2017-03-28  9:04 PM</t>
  </si>
  <si>
    <t>Carolanne Mueller</t>
  </si>
  <si>
    <t>443-240-0407</t>
  </si>
  <si>
    <t>cmuelle2@umd.edu</t>
  </si>
  <si>
    <t>Arlene Chiu</t>
  </si>
  <si>
    <t>201-925-2761</t>
  </si>
  <si>
    <t>achiu@umd.edu</t>
  </si>
  <si>
    <t>Weekly Meeting: w2.0</t>
  </si>
  <si>
    <t>2017-03-31  3:54 PM</t>
  </si>
  <si>
    <t>Required Information</t>
  </si>
  <si>
    <t>Sara Carter</t>
  </si>
  <si>
    <t>443-845-1326</t>
  </si>
  <si>
    <t>saracarter994@gmail.com</t>
  </si>
  <si>
    <t>Tino Fragale</t>
  </si>
  <si>
    <t>240-264-7102</t>
  </si>
  <si>
    <t>tinofragale@gmail.com</t>
  </si>
  <si>
    <t>2017-03-29  5:00 PM</t>
  </si>
  <si>
    <t>Amitai Max Samuels</t>
  </si>
  <si>
    <t>(857) 206-3338</t>
  </si>
  <si>
    <t>maxsam@terpmail.umd.edu</t>
  </si>
  <si>
    <t>Jannah Laserson</t>
  </si>
  <si>
    <t>(216) 849-3384</t>
  </si>
  <si>
    <t>lasersonj@gmail.com</t>
  </si>
  <si>
    <t>Rosh HaShana/New Year's Resolution 5K</t>
  </si>
  <si>
    <t>2017-03-29  8:16 PM</t>
  </si>
  <si>
    <t>Budget Form</t>
  </si>
  <si>
    <t>Rachel Yuan</t>
  </si>
  <si>
    <t>240-620-9636</t>
  </si>
  <si>
    <t>rachel.h.yuan@gmail.com</t>
  </si>
  <si>
    <t>Crystal Mehdizaheh</t>
  </si>
  <si>
    <t>240-408-1419</t>
  </si>
  <si>
    <t>crystalm@umd.edu</t>
  </si>
  <si>
    <t>2017-03-29  5:28 PM</t>
  </si>
  <si>
    <t>2017-03-29  5:49 PM</t>
  </si>
  <si>
    <t>Yogatonement</t>
  </si>
  <si>
    <t>2017-03-29 11:31 PM</t>
  </si>
  <si>
    <t>2017-04-03 11:15 AM</t>
  </si>
  <si>
    <t>Morgan Benner</t>
  </si>
  <si>
    <t>443-537-3588</t>
  </si>
  <si>
    <t>morganbenner1@gmail.com</t>
  </si>
  <si>
    <t>Kayla Sukri</t>
  </si>
  <si>
    <t>240-723-0144</t>
  </si>
  <si>
    <t>kayla.sukri@gmail.com</t>
  </si>
  <si>
    <t>2017-04-02  7:35 PM</t>
  </si>
  <si>
    <t>Required Info</t>
  </si>
  <si>
    <t>443-472-0378</t>
  </si>
  <si>
    <t>eric.augustino@gmail.com</t>
  </si>
  <si>
    <t>Reuben Pomerantz</t>
  </si>
  <si>
    <t>339-364-1087</t>
  </si>
  <si>
    <t>ripomerantz@comcast.net</t>
  </si>
  <si>
    <t>Men's Lacrosse Games</t>
  </si>
  <si>
    <t>2017-04-03 12:36 PM</t>
  </si>
  <si>
    <t>Rehearsal Space Required Information</t>
  </si>
  <si>
    <t>Katarina Friedman</t>
  </si>
  <si>
    <t>301-367-8705</t>
  </si>
  <si>
    <t>kfriedman1317@gmail.com</t>
  </si>
  <si>
    <t>Jessica Morris</t>
  </si>
  <si>
    <t>412-722-9240</t>
  </si>
  <si>
    <t>jmo97@terpmail.umd.edu</t>
  </si>
  <si>
    <t>Avirah Rehearsal 2017</t>
  </si>
  <si>
    <t>2017-04-02  9:19 PM</t>
  </si>
  <si>
    <t>Kelsey Edwards</t>
  </si>
  <si>
    <t>443-510-9058</t>
  </si>
  <si>
    <t>kelseyve1@hotmail.com</t>
  </si>
  <si>
    <t>Kimberly Hopkins</t>
  </si>
  <si>
    <t>240-204-7415</t>
  </si>
  <si>
    <t>kimhopkins71@gmail.com</t>
  </si>
  <si>
    <t>Freshcon 2017</t>
  </si>
  <si>
    <t>2017-04-02  8:47 PM</t>
  </si>
  <si>
    <t>Required Budget Information FY18</t>
  </si>
  <si>
    <t>Amy Bao</t>
  </si>
  <si>
    <t>301-326-5464</t>
  </si>
  <si>
    <t>abao@terpmail.umd.edu</t>
  </si>
  <si>
    <t>Sade Greenfield</t>
  </si>
  <si>
    <t>443-872-9900</t>
  </si>
  <si>
    <t>sade9612@terpmail.umd.edu</t>
  </si>
  <si>
    <t>2017-04-02 10:39 PM</t>
  </si>
  <si>
    <t>Kai-wen Kelvin Chang</t>
  </si>
  <si>
    <t>(301)325-4287</t>
  </si>
  <si>
    <t>chang273@umd.edu</t>
  </si>
  <si>
    <t>Paul Dong</t>
  </si>
  <si>
    <t>(301)335-8727</t>
  </si>
  <si>
    <t>pdong@terpmail.umd.edu</t>
  </si>
  <si>
    <t>2017-04-03  2:47 PM</t>
  </si>
  <si>
    <t>Stephanie Choi</t>
  </si>
  <si>
    <t>215-528-4351</t>
  </si>
  <si>
    <t>smchoi@terpmail.umd.edu</t>
  </si>
  <si>
    <t>Victoria Teng, Lynda Nguyen</t>
  </si>
  <si>
    <t>347-782-1138</t>
  </si>
  <si>
    <t>vteng@umd.edu</t>
  </si>
  <si>
    <t>2017-04-03  4:26 PM</t>
  </si>
  <si>
    <t>Sanjay Forrest</t>
  </si>
  <si>
    <t>301-273-5383</t>
  </si>
  <si>
    <t>umdcsapresidents@gmail.com</t>
  </si>
  <si>
    <t>Tatiana Sindass</t>
  </si>
  <si>
    <t>301-379-2870</t>
  </si>
  <si>
    <t>umdcsatreasurer@gmail.com</t>
  </si>
  <si>
    <t>Labor Day Parade Bus Trip</t>
  </si>
  <si>
    <t>2017-04-03  4:30 PM</t>
  </si>
  <si>
    <t>umdcsapresident@gmail.com</t>
  </si>
  <si>
    <t>2017-04-01  5:28 PM</t>
  </si>
  <si>
    <t>Hopkins Tournament</t>
  </si>
  <si>
    <t>Nathan Holliman</t>
  </si>
  <si>
    <t>860-949-1908</t>
  </si>
  <si>
    <t>nathangft@yahoo.com</t>
  </si>
  <si>
    <t>Shubhankar Sachdev</t>
  </si>
  <si>
    <t>908-838-8088</t>
  </si>
  <si>
    <t>shubhankar.sachdev.98@gmail.com</t>
  </si>
  <si>
    <t>2017-04-01  6:00 PM</t>
  </si>
  <si>
    <t>2017-04-02 12:06 AM</t>
  </si>
  <si>
    <t>2017-04-02 12:17 AM</t>
  </si>
  <si>
    <t>2017-04-02 12:26 AM</t>
  </si>
  <si>
    <t>2017-04-02 12:35 AM</t>
  </si>
  <si>
    <t>2017-04-02 12:43 AM</t>
  </si>
  <si>
    <t>2017-04-02 12:53 AM</t>
  </si>
  <si>
    <t>2017-04-02  1:00 AM</t>
  </si>
  <si>
    <t>2017-04-03  4:40 PM</t>
  </si>
  <si>
    <t>Sedia Tanis</t>
  </si>
  <si>
    <t>240-457-7399</t>
  </si>
  <si>
    <t>sedia99@hotmail.com</t>
  </si>
  <si>
    <t>Shianna Thompson</t>
  </si>
  <si>
    <t>443-621-5021</t>
  </si>
  <si>
    <t>shianna_96@hotmail.com</t>
  </si>
  <si>
    <t>2017-04-02  2:07 PM</t>
  </si>
  <si>
    <t>Devin Thrasher</t>
  </si>
  <si>
    <t>(443) 994-7625</t>
  </si>
  <si>
    <t>36dthrasher@gmail.com</t>
  </si>
  <si>
    <t>Vera Belaia</t>
  </si>
  <si>
    <t>(240) 688-3063</t>
  </si>
  <si>
    <t>vbelaia@terpmail.umd.edu</t>
  </si>
  <si>
    <t>2017-04-02  2:49 PM</t>
  </si>
  <si>
    <t>Alex Yu</t>
  </si>
  <si>
    <t>301-377-9523</t>
  </si>
  <si>
    <t>yu.alexandert@gmail.com</t>
  </si>
  <si>
    <t>Suzanne DeMeritte</t>
  </si>
  <si>
    <t>240-494-6655</t>
  </si>
  <si>
    <t>sdemerit@terpmail.umd.edu</t>
  </si>
  <si>
    <t>GSO FA17 Chapel Rehearsals</t>
  </si>
  <si>
    <t>2017-04-02  3:28 PM</t>
  </si>
  <si>
    <t>2017-04-02  3:50 PM</t>
  </si>
  <si>
    <t>Alex Wright</t>
  </si>
  <si>
    <t>443-472-2091</t>
  </si>
  <si>
    <t>wright.alex@comcast.net</t>
  </si>
  <si>
    <t>Kristi Persing</t>
  </si>
  <si>
    <t>443-591-0222</t>
  </si>
  <si>
    <t>kapersi@verizon.net</t>
  </si>
  <si>
    <t>2017-04-03  3:25 PM</t>
  </si>
  <si>
    <t>Zachary Rodriguez</t>
  </si>
  <si>
    <t>443-340-8754</t>
  </si>
  <si>
    <t>zrod7@terpmail.umd.edu</t>
  </si>
  <si>
    <t>Matthew Caspero</t>
  </si>
  <si>
    <t>443-9871902</t>
  </si>
  <si>
    <t>mcaspero@terpmail.umd.edu</t>
  </si>
  <si>
    <t>2017-04-02  4:33 PM</t>
  </si>
  <si>
    <t>2017-04-03  3:33 PM</t>
  </si>
  <si>
    <t>443-987-1902</t>
  </si>
  <si>
    <t>2017-04-03  4:12 PM</t>
  </si>
  <si>
    <t>2017-04-02  6:29 PM</t>
  </si>
  <si>
    <t>Justice for Juniors -Monday</t>
  </si>
  <si>
    <t>Claudia Winder</t>
  </si>
  <si>
    <t>443-825-7968</t>
  </si>
  <si>
    <t>claudia.winder@yahoo.com</t>
  </si>
  <si>
    <t>Kayla Tarrant</t>
  </si>
  <si>
    <t>410-274-6788</t>
  </si>
  <si>
    <t>kaylatarrant2013@gmail.com</t>
  </si>
  <si>
    <t>2017-04-02  6:39 PM</t>
  </si>
  <si>
    <t>Required Budget Info FY18</t>
  </si>
  <si>
    <t>Julia Serrao</t>
  </si>
  <si>
    <t>973-917-9331</t>
  </si>
  <si>
    <t>jserrao@umd.edu</t>
  </si>
  <si>
    <t>Amanda Hodgetts</t>
  </si>
  <si>
    <t>443-632-4714</t>
  </si>
  <si>
    <t>ahodgetts18@gmail.com</t>
  </si>
  <si>
    <t>2017-04-02  6:58 PM</t>
  </si>
  <si>
    <t>Required Budget Information for rehearsal</t>
  </si>
  <si>
    <t>Kathryn Sullivan</t>
  </si>
  <si>
    <t>414-940-1544</t>
  </si>
  <si>
    <t>kathrynsully95@gmail.com</t>
  </si>
  <si>
    <t>Anurupa Bhonsale</t>
  </si>
  <si>
    <t>443-474-2276</t>
  </si>
  <si>
    <t>abhonsal@terpmail.umd.edu</t>
  </si>
  <si>
    <t>2017-04-02  7:24 PM</t>
  </si>
  <si>
    <t>Rebecca Matthews</t>
  </si>
  <si>
    <t>240-394-2079</t>
  </si>
  <si>
    <t>rmatthe3@umd.edu</t>
  </si>
  <si>
    <t>Daniel Kim</t>
  </si>
  <si>
    <t>301-535-2512</t>
  </si>
  <si>
    <t>dkim1@umd.edu</t>
  </si>
  <si>
    <t>Fall 2017 Tango Lesson Program</t>
  </si>
  <si>
    <t>2017-04-02  7:40 PM</t>
  </si>
  <si>
    <t>Fall 2017 Tango Practica Program (Up to Nov. 30)</t>
  </si>
  <si>
    <t>2017-04-02  7:54 PM</t>
  </si>
  <si>
    <t>2017-04-02  8:07 PM</t>
  </si>
  <si>
    <t>Tailgates</t>
  </si>
  <si>
    <t>2017-04-02  8:08 PM</t>
  </si>
  <si>
    <t>2017-04-02  8:23 PM</t>
  </si>
  <si>
    <t>Required budget information</t>
  </si>
  <si>
    <t>Fall 2017 Tango Eastern Market Program (Up to Nov. 30)</t>
  </si>
  <si>
    <t>2017-04-02  8:41 PM</t>
  </si>
  <si>
    <t>Women's Volleyball</t>
  </si>
  <si>
    <t>2017-04-02  9:44 PM</t>
  </si>
  <si>
    <t>2017-04-03 11:50 AM</t>
  </si>
  <si>
    <t>Alexis Flores</t>
  </si>
  <si>
    <t>301-575-7656</t>
  </si>
  <si>
    <t>president@fcaatumd.com</t>
  </si>
  <si>
    <t>Eric Flores</t>
  </si>
  <si>
    <t>301-526-2983</t>
  </si>
  <si>
    <t>treasurer@fcaatumd.com</t>
  </si>
  <si>
    <t>2017-04-02 11:35 PM</t>
  </si>
  <si>
    <t>Required budget info</t>
  </si>
  <si>
    <t>brian lawrence</t>
  </si>
  <si>
    <t>(908) 721-8905</t>
  </si>
  <si>
    <t>briansuperbrian@gmail.com</t>
  </si>
  <si>
    <t>julia zhen</t>
  </si>
  <si>
    <t>410-292-0981</t>
  </si>
  <si>
    <t>Julia.zhen1@gmail.com</t>
  </si>
  <si>
    <t>2017-04-03 12:28 PM</t>
  </si>
  <si>
    <t>Marquise Singleterry</t>
  </si>
  <si>
    <t>(410)739-8772</t>
  </si>
  <si>
    <t>mdsingle@terpmail.umd.edu</t>
  </si>
  <si>
    <t>Sonia Arya</t>
  </si>
  <si>
    <t>(484)252-1728</t>
  </si>
  <si>
    <t>soniaarya195@gmail.com</t>
  </si>
  <si>
    <t>Dance Ke Deewane</t>
  </si>
  <si>
    <t>2017-04-03 12:11 AM</t>
  </si>
  <si>
    <t>Ilana Levin</t>
  </si>
  <si>
    <t>443-610-0400</t>
  </si>
  <si>
    <t>ilev427@yahoo.com</t>
  </si>
  <si>
    <t>Kayla Bowles</t>
  </si>
  <si>
    <t>240-431-8980</t>
  </si>
  <si>
    <t>kbowles@terpmail.umd.edu</t>
  </si>
  <si>
    <t>2017-04-03 11:12 AM</t>
  </si>
  <si>
    <t>Sam Fishman</t>
  </si>
  <si>
    <t>770-315-4612</t>
  </si>
  <si>
    <t>sfishman@terpmail.umd.edu</t>
  </si>
  <si>
    <t>Ahron Guttman</t>
  </si>
  <si>
    <t>713-319-4564</t>
  </si>
  <si>
    <t>guttman1@terpmail.umd.edu</t>
  </si>
  <si>
    <t>JSU's Welcome Back Pool Party</t>
  </si>
  <si>
    <t>2017-04-03  1:37 PM</t>
  </si>
  <si>
    <t>Sashank Thupukari</t>
  </si>
  <si>
    <t>571-419-9819</t>
  </si>
  <si>
    <t>s@thupukari.com</t>
  </si>
  <si>
    <t>Michael Anderjaska</t>
  </si>
  <si>
    <t>410-689-5830</t>
  </si>
  <si>
    <t>m.anderjaska@gmail.com</t>
  </si>
  <si>
    <t>2017-04-03  3:21 PM</t>
  </si>
  <si>
    <t>(484) 252-1728</t>
  </si>
  <si>
    <t>Meghana Annadata</t>
  </si>
  <si>
    <t>(410) 961-2287</t>
  </si>
  <si>
    <t>meg.annadata@gmail.com</t>
  </si>
  <si>
    <t>2017-04-03  3:39 PM</t>
  </si>
  <si>
    <t>Ankita Singh</t>
  </si>
  <si>
    <t>240-899-0793</t>
  </si>
  <si>
    <t>director@marylandmasti.com</t>
  </si>
  <si>
    <t>Krishna Shah</t>
  </si>
  <si>
    <t>240-543-5426</t>
  </si>
  <si>
    <t>kshah8511@gmail.com</t>
  </si>
  <si>
    <t>2017-04-03  2:09 AM</t>
  </si>
  <si>
    <t>Annual AIChE Chem-E-Car National Competition</t>
  </si>
  <si>
    <t>Soliver Fusi</t>
  </si>
  <si>
    <t>240-701-4306</t>
  </si>
  <si>
    <t>sfusi@umd.edu</t>
  </si>
  <si>
    <t>Ryan Ghosh</t>
  </si>
  <si>
    <t>240-364-4218</t>
  </si>
  <si>
    <t>ryansg153@gmail.com</t>
  </si>
  <si>
    <t>2017-04-03  2:14 AM</t>
  </si>
  <si>
    <t>Necessity</t>
  </si>
  <si>
    <t>Mei Li</t>
  </si>
  <si>
    <t>240-838-2652</t>
  </si>
  <si>
    <t>meiyingli94@gmail.com</t>
  </si>
  <si>
    <t>Van Ha Le</t>
  </si>
  <si>
    <t>301-281-3350</t>
  </si>
  <si>
    <t>vle2111@terpmail.umd.edu</t>
  </si>
  <si>
    <t>2017-04-03  2:48 PM</t>
  </si>
  <si>
    <t>2017-04-03  3:17 AM</t>
  </si>
  <si>
    <t>Emily Yung</t>
  </si>
  <si>
    <t>610-357-9872</t>
  </si>
  <si>
    <t>ery930@gmail.com</t>
  </si>
  <si>
    <t>Thomas Mathews</t>
  </si>
  <si>
    <t>301-832-1676</t>
  </si>
  <si>
    <t>tmathews@terpmail.umd.edu</t>
  </si>
  <si>
    <t>2017-04-03  6:34 AM</t>
  </si>
  <si>
    <t>2017-04-03  6:53 AM</t>
  </si>
  <si>
    <t>2017-04-03  7:00 AM</t>
  </si>
  <si>
    <t>2017-04-03  7:08 AM</t>
  </si>
  <si>
    <t>2017-04-03  7:18 AM</t>
  </si>
  <si>
    <t>2017-04-03  7:28 AM</t>
  </si>
  <si>
    <t>2017-04-03 11:29 AM</t>
  </si>
  <si>
    <t>Jeffrey J Mason</t>
  </si>
  <si>
    <t>443-987-3405</t>
  </si>
  <si>
    <t>jmason14@terpmail.umd.edu</t>
  </si>
  <si>
    <t>Chris Keosian</t>
  </si>
  <si>
    <t>410-726-8668</t>
  </si>
  <si>
    <t>ckeosian@terpmail.umd.edu</t>
  </si>
  <si>
    <t>2017-18 MSL Event Fees (Required Budget Information)</t>
  </si>
  <si>
    <t>2017-04-03 11:11 AM</t>
  </si>
  <si>
    <t>SGA Budget Application FY18</t>
  </si>
  <si>
    <t>Jackson Rau</t>
  </si>
  <si>
    <t>443-340-7108</t>
  </si>
  <si>
    <t>jrau.hooped@gmail.com</t>
  </si>
  <si>
    <t>Deven Appel</t>
  </si>
  <si>
    <t>203-585-4092</t>
  </si>
  <si>
    <t>dappel@terpmail.umd.edu</t>
  </si>
  <si>
    <t>2017-04-03  1:50 PM</t>
  </si>
  <si>
    <t>Required Budget Information - General Operations</t>
  </si>
  <si>
    <t>Harlie Pietrangelo</t>
  </si>
  <si>
    <t>733-688-4595</t>
  </si>
  <si>
    <t>harlie.pietrangelo@gmail.com</t>
  </si>
  <si>
    <t>Sara Tolnay</t>
  </si>
  <si>
    <t>301-503-5925</t>
  </si>
  <si>
    <t>stolnay21@gmail.com</t>
  </si>
  <si>
    <t>2017-04-03 11:43 AM</t>
  </si>
  <si>
    <t>Joe Szcybor</t>
  </si>
  <si>
    <t>443-226-3607</t>
  </si>
  <si>
    <t>president@catholicterps.org</t>
  </si>
  <si>
    <t>David DuBey</t>
  </si>
  <si>
    <t>443-718-8921</t>
  </si>
  <si>
    <t>treasurer@catholicterps.org</t>
  </si>
  <si>
    <t>Required Budget Information - Intro Trip</t>
  </si>
  <si>
    <t>Intro Trip</t>
  </si>
  <si>
    <t>2017-04-03  2:31 PM</t>
  </si>
  <si>
    <t>Jacob Tasto</t>
  </si>
  <si>
    <t>301-502-7767</t>
  </si>
  <si>
    <t>jacobtasto@verizon.net</t>
  </si>
  <si>
    <t>Jonah Gordon</t>
  </si>
  <si>
    <t>301-219-9740</t>
  </si>
  <si>
    <t>joego11@terpmail.umd.edu</t>
  </si>
  <si>
    <t>2017-04-03 12:51 PM</t>
  </si>
  <si>
    <t>Leena Daniel</t>
  </si>
  <si>
    <t>240-750-9914</t>
  </si>
  <si>
    <t>leenaedaniel@gmail.com</t>
  </si>
  <si>
    <t>Daniel Soreng</t>
  </si>
  <si>
    <t>240-708-1512</t>
  </si>
  <si>
    <t>dsoreng@umd.edu</t>
  </si>
  <si>
    <t>2017-04-03  4:02 PM</t>
  </si>
  <si>
    <t>Chandler Pierce</t>
  </si>
  <si>
    <t>410-504-9526</t>
  </si>
  <si>
    <t>president@pandemoniumumd.com</t>
  </si>
  <si>
    <t>Ari Ness</t>
  </si>
  <si>
    <t>443-986-2089</t>
  </si>
  <si>
    <t>treasurer@pandemoniumumd.com</t>
  </si>
  <si>
    <t>2017-04-03  1:55 PM</t>
  </si>
  <si>
    <t>2017-04-03  2:07 PM</t>
  </si>
  <si>
    <t>No Taboo Funding</t>
  </si>
  <si>
    <t>Dharani Krishnamoorthi</t>
  </si>
  <si>
    <t>240-454-1746</t>
  </si>
  <si>
    <t>dharanikrish@hotmail.com</t>
  </si>
  <si>
    <t>Nivetita Ravi</t>
  </si>
  <si>
    <t>301-706-1725</t>
  </si>
  <si>
    <t>nivetita7@gmail.com</t>
  </si>
  <si>
    <t>2017-04-03  2:11 PM</t>
  </si>
  <si>
    <t>2017-04-03  2:16 PM</t>
  </si>
  <si>
    <t>Veena Sivaraman</t>
  </si>
  <si>
    <t>410-236-1214</t>
  </si>
  <si>
    <t>sivaramanveena@gmail.com</t>
  </si>
  <si>
    <t>Pradyun Dixit</t>
  </si>
  <si>
    <t>443-486-8064</t>
  </si>
  <si>
    <t>pdixit96@umd.edu</t>
  </si>
  <si>
    <t>Anokha Album Recording</t>
  </si>
  <si>
    <t>2017-04-03  2:32 PM</t>
  </si>
  <si>
    <t>Stephen Kind</t>
  </si>
  <si>
    <t>301-974-7245</t>
  </si>
  <si>
    <t>stephenp.kind@gmail.com</t>
  </si>
  <si>
    <t>Arvin Massoudi</t>
  </si>
  <si>
    <t>240-586-0233</t>
  </si>
  <si>
    <t>amassoudi619@gmail.com</t>
  </si>
  <si>
    <t>2017-04-03  3:58 PM</t>
  </si>
  <si>
    <t>2017-04-03  2:37 PM</t>
  </si>
  <si>
    <t>Required info</t>
  </si>
  <si>
    <t>Spencer Reid</t>
  </si>
  <si>
    <t>301-956-0869</t>
  </si>
  <si>
    <t>spencerreid1@verizon.net</t>
  </si>
  <si>
    <t>Samuel Terbush</t>
  </si>
  <si>
    <t>301-788-8439</t>
  </si>
  <si>
    <t>SJTerbush@gmail.com</t>
  </si>
  <si>
    <t>2017-04-03  4:36 PM</t>
  </si>
  <si>
    <t>Recording the Album</t>
  </si>
  <si>
    <t>Yiorgos Karaminas</t>
  </si>
  <si>
    <t>617-803-0905</t>
  </si>
  <si>
    <t>marylandgenerics@gmail.com</t>
  </si>
  <si>
    <t>Mia Carmel</t>
  </si>
  <si>
    <t>240-380-8894</t>
  </si>
  <si>
    <t>carmel.mia@gmail.com</t>
  </si>
  <si>
    <t>2017-04-03  2:51 PM</t>
  </si>
  <si>
    <t>Jocelyn Broth</t>
  </si>
  <si>
    <t>443-955-2681</t>
  </si>
  <si>
    <t>jbroth@terpmail.umd.edu</t>
  </si>
  <si>
    <t>Rebecca Elspas</t>
  </si>
  <si>
    <t>424-603-3058</t>
  </si>
  <si>
    <t>relspas3@terpmail.umd.edu</t>
  </si>
  <si>
    <t>2017-04-03  2:54 PM</t>
  </si>
  <si>
    <t>Bria Sladden</t>
  </si>
  <si>
    <t>240-606-3002</t>
  </si>
  <si>
    <t>bsladd@gmail.com</t>
  </si>
  <si>
    <t>Klarence Simpson</t>
  </si>
  <si>
    <t>301-281-7019</t>
  </si>
  <si>
    <t>klarence.simpson@gmail.com</t>
  </si>
  <si>
    <t>Mentor ship Event</t>
  </si>
  <si>
    <t>2017-04-03  3:52 PM</t>
  </si>
  <si>
    <t>2017-04-03  3:35 PM</t>
  </si>
  <si>
    <t>Elizabeth Hollenczer</t>
  </si>
  <si>
    <t>410-200-8984</t>
  </si>
  <si>
    <t>elizabeth.hollenczer@gmail.com</t>
  </si>
  <si>
    <t>Christina Fitch</t>
  </si>
  <si>
    <t>240-277-6456</t>
  </si>
  <si>
    <t>tina.fitch.95@gmail.com</t>
  </si>
  <si>
    <t>2017-04-03  4:35 PM</t>
  </si>
  <si>
    <t>May 6th Spring Concert</t>
  </si>
  <si>
    <t>2017-04-03  3:55 PM</t>
  </si>
  <si>
    <t>Jane Lyons</t>
  </si>
  <si>
    <t>410-474-0741</t>
  </si>
  <si>
    <t>wmucgm@gmail.com</t>
  </si>
  <si>
    <t>Colin Wick</t>
  </si>
  <si>
    <t>410-991-9949</t>
  </si>
  <si>
    <t>wmuc.biz@gmail.com</t>
  </si>
  <si>
    <t>2017-04-03  4:32 PM</t>
  </si>
  <si>
    <t>Maryland Latin Dance Club Description</t>
  </si>
  <si>
    <t>Marcella Goldring</t>
  </si>
  <si>
    <t>240-351-7919</t>
  </si>
  <si>
    <t>mgoldrin@terpmail.umd.edu</t>
  </si>
  <si>
    <t>Brenda Torres</t>
  </si>
  <si>
    <t>301-404-2129</t>
  </si>
  <si>
    <t>brenda-t@hotmail.es</t>
  </si>
  <si>
    <t>Free Weekly Class: September 2017</t>
  </si>
  <si>
    <t>2017-04-03  4:44 PM</t>
  </si>
  <si>
    <t>Abigail Mandelblatt</t>
  </si>
  <si>
    <t>443-875-3964</t>
  </si>
  <si>
    <t>aemandelblatt@yahoo.com</t>
  </si>
  <si>
    <t>Allison Karwoski</t>
  </si>
  <si>
    <t>301-502-8133</t>
  </si>
  <si>
    <t>allisonk0314@gmail.com</t>
  </si>
  <si>
    <t>2017-04-03  4:58 PM</t>
  </si>
  <si>
    <t>Requieed Information</t>
  </si>
  <si>
    <t>Ophir Gal</t>
  </si>
  <si>
    <t>301-957-4094</t>
  </si>
  <si>
    <t>ophirgal@terpmail.umd.edu</t>
  </si>
  <si>
    <t>Josephine Vallejo</t>
  </si>
  <si>
    <t>204-397-4340</t>
  </si>
  <si>
    <t>violin1231jav@gmail.com</t>
  </si>
  <si>
    <t>Jam Sessions</t>
  </si>
  <si>
    <t>2017-04-05 12:47 AM</t>
  </si>
  <si>
    <t>Katherine Swanson</t>
  </si>
  <si>
    <t>301-314-8329</t>
  </si>
  <si>
    <t>sgapresident@umd.edu</t>
  </si>
  <si>
    <t>Perry Bloch</t>
  </si>
  <si>
    <t>301-405-8420</t>
  </si>
  <si>
    <t>sgavpfinance@umd.edu</t>
  </si>
  <si>
    <t>2017-04-05  1:58 AM</t>
  </si>
  <si>
    <t>2017-04-05  2:33 AM</t>
  </si>
  <si>
    <t>2017-04-05  3:07 AM</t>
  </si>
  <si>
    <t>Date of Program</t>
  </si>
  <si>
    <t>Amount Requested</t>
  </si>
  <si>
    <t>Committee Decision</t>
  </si>
  <si>
    <t>Total Allocation</t>
  </si>
  <si>
    <t>Reason to Not Fully Fund</t>
  </si>
  <si>
    <t>Check Committee Decision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</si>
</sst>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name val="Arial"/>
      <family val="1"/>
    </font>
    <font>
      <sz val="11"/>
      <color rgb="FF000000"/>
      <name val="Calibri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1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1" fillId="0" borderId="0" xfId="1"/>
    <xf numFmtId="14" fontId="1" fillId="0" borderId="0" xfId="1" applyNumberFormat="1"/>
    <xf numFmtId="14" fontId="0" fillId="0" borderId="0" xfId="0" applyNumberFormat="1"/>
    <xf numFmtId="0" fontId="3" fillId="0" borderId="0" xfId="1" applyFont="1"/>
    <xf numFmtId="0" fontId="4" fillId="0" borderId="0" xfId="0" applyFont="1"/>
    <xf numFmtId="14" fontId="4" fillId="0" borderId="0" xfId="0" applyNumberFormat="1" applyFont="1"/>
    <xf numFmtId="0" fontId="4" fillId="2" borderId="0" xfId="0" applyFont="1" applyFill="1"/>
    <xf numFmtId="0" fontId="3" fillId="4" borderId="0" xfId="1" applyFont="1" applyFill="1"/>
    <xf numFmtId="0" fontId="4" fillId="4" borderId="0" xfId="0" applyFont="1" applyFill="1"/>
    <xf numFmtId="14" fontId="4" fillId="4" borderId="0" xfId="0" applyNumberFormat="1" applyFont="1" applyFill="1"/>
    <xf numFmtId="0" fontId="4" fillId="5" borderId="0" xfId="0" applyFont="1" applyFill="1"/>
    <xf numFmtId="0" fontId="5" fillId="3" borderId="0" xfId="1" applyFont="1" applyFill="1"/>
    <xf numFmtId="0" fontId="5" fillId="3" borderId="0" xfId="0" applyFont="1" applyFill="1"/>
    <xf numFmtId="14" fontId="5" fillId="3" borderId="0" xfId="0" applyNumberFormat="1" applyFon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</xdr:row>
          <xdr:rowOff>60960</xdr:rowOff>
        </xdr:from>
        <xdr:to>
          <xdr:col>2</xdr:col>
          <xdr:colOff>525780</xdr:colOff>
          <xdr:row>2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3</xdr:row>
          <xdr:rowOff>60960</xdr:rowOff>
        </xdr:from>
        <xdr:to>
          <xdr:col>2</xdr:col>
          <xdr:colOff>541020</xdr:colOff>
          <xdr:row>4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9" sqref="E9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Sheets">
                <anchor moveWithCells="1" sizeWithCells="1">
                  <from>
                    <xdr:col>1</xdr:col>
                    <xdr:colOff>76200</xdr:colOff>
                    <xdr:row>1</xdr:row>
                    <xdr:rowOff>60960</xdr:rowOff>
                  </from>
                  <to>
                    <xdr:col>2</xdr:col>
                    <xdr:colOff>525780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1</xdr:col>
                    <xdr:colOff>144780</xdr:colOff>
                    <xdr:row>3</xdr:row>
                    <xdr:rowOff>60960</xdr:rowOff>
                  </from>
                  <to>
                    <xdr:col>2</xdr:col>
                    <xdr:colOff>541020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7"/>
  <sheetViews>
    <sheetView showOutlineSymbols="0" showWhiteSpace="0" workbookViewId="0"/>
  </sheetViews>
  <sheetFormatPr defaultRowHeight="13.8" x14ac:dyDescent="0.25"/>
  <cols>
    <col min="1" max="1" width="18" style="1" customWidth="1"/>
    <col min="2" max="2" width="32.77734375" style="1" customWidth="1"/>
    <col min="3" max="3" width="52.33203125" style="1" customWidth="1"/>
    <col min="4" max="4" width="91.33203125" style="1" customWidth="1"/>
    <col min="5" max="5" width="30.21875" style="1" customWidth="1"/>
    <col min="6" max="6" width="11.88671875" style="1" customWidth="1"/>
    <col min="7" max="7" width="20.5546875" style="1" customWidth="1"/>
    <col min="8" max="16384" width="8.88671875" style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 t="s">
        <v>540</v>
      </c>
      <c r="B2" s="1" t="s">
        <v>30</v>
      </c>
      <c r="C2" s="1" t="s">
        <v>173</v>
      </c>
      <c r="D2" s="1" t="s">
        <v>519</v>
      </c>
      <c r="E2" s="1" t="s">
        <v>541</v>
      </c>
      <c r="F2" s="1" t="s">
        <v>8</v>
      </c>
      <c r="G2" s="1">
        <v>2800</v>
      </c>
    </row>
    <row r="3" spans="1:7" x14ac:dyDescent="0.25">
      <c r="A3" s="1" t="s">
        <v>538</v>
      </c>
      <c r="B3" s="1" t="s">
        <v>30</v>
      </c>
      <c r="C3" s="1" t="s">
        <v>535</v>
      </c>
      <c r="D3" s="1" t="s">
        <v>536</v>
      </c>
      <c r="E3" s="1" t="s">
        <v>539</v>
      </c>
      <c r="F3" s="1" t="s">
        <v>8</v>
      </c>
      <c r="G3" s="1">
        <v>144</v>
      </c>
    </row>
    <row r="4" spans="1:7" x14ac:dyDescent="0.25">
      <c r="A4" s="1" t="s">
        <v>533</v>
      </c>
      <c r="B4" s="1" t="s">
        <v>30</v>
      </c>
      <c r="C4" s="1" t="s">
        <v>53</v>
      </c>
      <c r="D4" s="1" t="s">
        <v>53</v>
      </c>
      <c r="E4" s="1" t="s">
        <v>534</v>
      </c>
      <c r="F4" s="1" t="s">
        <v>8</v>
      </c>
      <c r="G4" s="1">
        <v>1451.96</v>
      </c>
    </row>
    <row r="5" spans="1:7" x14ac:dyDescent="0.25">
      <c r="A5" s="1" t="s">
        <v>529</v>
      </c>
      <c r="B5" s="1" t="s">
        <v>30</v>
      </c>
      <c r="C5" s="1" t="s">
        <v>320</v>
      </c>
      <c r="D5" s="1" t="s">
        <v>530</v>
      </c>
      <c r="E5" s="1" t="s">
        <v>531</v>
      </c>
      <c r="F5" s="1" t="s">
        <v>8</v>
      </c>
      <c r="G5" s="1">
        <v>114</v>
      </c>
    </row>
    <row r="6" spans="1:7" x14ac:dyDescent="0.25">
      <c r="A6" s="1" t="s">
        <v>524</v>
      </c>
      <c r="B6" s="1" t="s">
        <v>30</v>
      </c>
      <c r="C6" s="1" t="s">
        <v>93</v>
      </c>
      <c r="D6" s="1" t="s">
        <v>94</v>
      </c>
      <c r="E6" s="1" t="s">
        <v>525</v>
      </c>
      <c r="F6" s="1" t="s">
        <v>8</v>
      </c>
      <c r="G6" s="1">
        <v>2041</v>
      </c>
    </row>
    <row r="7" spans="1:7" x14ac:dyDescent="0.25">
      <c r="A7" s="1" t="s">
        <v>520</v>
      </c>
      <c r="B7" s="1" t="s">
        <v>30</v>
      </c>
      <c r="C7" s="1" t="s">
        <v>521</v>
      </c>
      <c r="D7" s="1" t="s">
        <v>522</v>
      </c>
      <c r="E7" s="1" t="s">
        <v>523</v>
      </c>
      <c r="F7" s="1" t="s">
        <v>8</v>
      </c>
      <c r="G7" s="1">
        <v>0</v>
      </c>
    </row>
    <row r="8" spans="1:7" x14ac:dyDescent="0.25">
      <c r="A8" s="1" t="s">
        <v>44</v>
      </c>
      <c r="B8" s="1" t="s">
        <v>10</v>
      </c>
      <c r="C8" s="1" t="s">
        <v>45</v>
      </c>
      <c r="D8" s="1" t="s">
        <v>46</v>
      </c>
      <c r="E8" s="1" t="s">
        <v>47</v>
      </c>
      <c r="F8" s="1" t="s">
        <v>8</v>
      </c>
      <c r="G8" s="1">
        <v>468</v>
      </c>
    </row>
    <row r="9" spans="1:7" x14ac:dyDescent="0.25">
      <c r="A9" s="1" t="s">
        <v>478</v>
      </c>
      <c r="B9" s="1" t="s">
        <v>30</v>
      </c>
      <c r="C9" s="1" t="s">
        <v>479</v>
      </c>
      <c r="D9" s="1" t="s">
        <v>480</v>
      </c>
      <c r="E9" s="1" t="s">
        <v>481</v>
      </c>
      <c r="F9" s="1" t="s">
        <v>8</v>
      </c>
      <c r="G9" s="1">
        <v>230.1</v>
      </c>
    </row>
    <row r="10" spans="1:7" x14ac:dyDescent="0.25">
      <c r="A10" s="1" t="s">
        <v>497</v>
      </c>
      <c r="B10" s="1" t="s">
        <v>30</v>
      </c>
      <c r="C10" s="1" t="s">
        <v>498</v>
      </c>
      <c r="D10" s="1" t="s">
        <v>499</v>
      </c>
      <c r="E10" s="1" t="s">
        <v>500</v>
      </c>
      <c r="F10" s="1" t="s">
        <v>8</v>
      </c>
      <c r="G10" s="1">
        <v>438</v>
      </c>
    </row>
    <row r="11" spans="1:7" x14ac:dyDescent="0.25">
      <c r="A11" s="1" t="s">
        <v>514</v>
      </c>
      <c r="B11" s="1" t="s">
        <v>10</v>
      </c>
      <c r="C11" s="1" t="s">
        <v>515</v>
      </c>
      <c r="D11" s="1" t="s">
        <v>516</v>
      </c>
      <c r="E11" s="1" t="s">
        <v>517</v>
      </c>
      <c r="F11" s="1" t="s">
        <v>8</v>
      </c>
      <c r="G11" s="1">
        <v>4800</v>
      </c>
    </row>
    <row r="12" spans="1:7" x14ac:dyDescent="0.25">
      <c r="A12" s="1" t="s">
        <v>488</v>
      </c>
      <c r="B12" s="1" t="s">
        <v>10</v>
      </c>
      <c r="C12" s="1" t="s">
        <v>485</v>
      </c>
      <c r="D12" s="1" t="s">
        <v>42</v>
      </c>
      <c r="E12" s="1" t="s">
        <v>489</v>
      </c>
      <c r="F12" s="1" t="s">
        <v>8</v>
      </c>
      <c r="G12" s="1">
        <v>63045.86</v>
      </c>
    </row>
    <row r="13" spans="1:7" x14ac:dyDescent="0.25">
      <c r="A13" s="1" t="s">
        <v>510</v>
      </c>
      <c r="B13" s="1" t="s">
        <v>10</v>
      </c>
      <c r="C13" s="1" t="s">
        <v>511</v>
      </c>
      <c r="D13" s="1" t="s">
        <v>512</v>
      </c>
      <c r="E13" s="1" t="s">
        <v>513</v>
      </c>
      <c r="F13" s="1" t="s">
        <v>8</v>
      </c>
      <c r="G13" s="1">
        <v>2560</v>
      </c>
    </row>
    <row r="14" spans="1:7" x14ac:dyDescent="0.25">
      <c r="A14" s="1" t="s">
        <v>484</v>
      </c>
      <c r="B14" s="1" t="s">
        <v>10</v>
      </c>
      <c r="C14" s="1" t="s">
        <v>485</v>
      </c>
      <c r="D14" s="1" t="s">
        <v>486</v>
      </c>
      <c r="E14" s="1" t="s">
        <v>487</v>
      </c>
      <c r="F14" s="1" t="s">
        <v>8</v>
      </c>
      <c r="G14" s="1">
        <v>0</v>
      </c>
    </row>
    <row r="15" spans="1:7" x14ac:dyDescent="0.25">
      <c r="A15" s="1" t="s">
        <v>507</v>
      </c>
      <c r="B15" s="1" t="s">
        <v>10</v>
      </c>
      <c r="C15" s="1" t="s">
        <v>173</v>
      </c>
      <c r="D15" s="1" t="s">
        <v>508</v>
      </c>
      <c r="E15" s="1" t="s">
        <v>509</v>
      </c>
      <c r="F15" s="1" t="s">
        <v>8</v>
      </c>
      <c r="G15" s="1">
        <v>541.09</v>
      </c>
    </row>
    <row r="16" spans="1:7" x14ac:dyDescent="0.25">
      <c r="A16" s="1" t="s">
        <v>493</v>
      </c>
      <c r="B16" s="1" t="s">
        <v>10</v>
      </c>
      <c r="C16" s="1" t="s">
        <v>494</v>
      </c>
      <c r="D16" s="1" t="s">
        <v>495</v>
      </c>
      <c r="E16" s="1" t="s">
        <v>496</v>
      </c>
      <c r="F16" s="1" t="s">
        <v>8</v>
      </c>
      <c r="G16" s="1">
        <v>4320</v>
      </c>
    </row>
    <row r="17" spans="1:7" x14ac:dyDescent="0.25">
      <c r="A17" s="1" t="s">
        <v>504</v>
      </c>
      <c r="B17" s="1" t="s">
        <v>10</v>
      </c>
      <c r="C17" s="1" t="s">
        <v>173</v>
      </c>
      <c r="D17" s="1" t="s">
        <v>505</v>
      </c>
      <c r="E17" s="1" t="s">
        <v>506</v>
      </c>
      <c r="F17" s="1" t="s">
        <v>8</v>
      </c>
      <c r="G17" s="1">
        <v>175.2</v>
      </c>
    </row>
    <row r="18" spans="1:7" x14ac:dyDescent="0.25">
      <c r="A18" s="1" t="s">
        <v>501</v>
      </c>
      <c r="B18" s="1" t="s">
        <v>10</v>
      </c>
      <c r="C18" s="1" t="s">
        <v>173</v>
      </c>
      <c r="D18" s="1" t="s">
        <v>502</v>
      </c>
      <c r="E18" s="1" t="s">
        <v>503</v>
      </c>
      <c r="F18" s="1" t="s">
        <v>8</v>
      </c>
      <c r="G18" s="1">
        <v>0</v>
      </c>
    </row>
    <row r="19" spans="1:7" x14ac:dyDescent="0.25">
      <c r="A19" s="1" t="s">
        <v>490</v>
      </c>
      <c r="B19" s="1" t="s">
        <v>10</v>
      </c>
      <c r="C19" s="1" t="s">
        <v>173</v>
      </c>
      <c r="D19" s="1" t="s">
        <v>491</v>
      </c>
      <c r="E19" s="1" t="s">
        <v>492</v>
      </c>
      <c r="F19" s="1" t="s">
        <v>8</v>
      </c>
      <c r="G19" s="1">
        <v>197.03</v>
      </c>
    </row>
    <row r="20" spans="1:7" x14ac:dyDescent="0.25">
      <c r="A20" s="1" t="s">
        <v>282</v>
      </c>
      <c r="B20" s="1" t="s">
        <v>10</v>
      </c>
      <c r="C20" s="1" t="s">
        <v>283</v>
      </c>
      <c r="D20" s="1" t="s">
        <v>284</v>
      </c>
      <c r="E20" s="1" t="s">
        <v>285</v>
      </c>
      <c r="F20" s="1" t="s">
        <v>8</v>
      </c>
      <c r="G20" s="1">
        <v>60.85</v>
      </c>
    </row>
    <row r="21" spans="1:7" x14ac:dyDescent="0.25">
      <c r="A21" s="1" t="s">
        <v>407</v>
      </c>
      <c r="B21" s="1" t="s">
        <v>10</v>
      </c>
      <c r="C21" s="1" t="s">
        <v>385</v>
      </c>
      <c r="D21" s="1" t="s">
        <v>408</v>
      </c>
      <c r="E21" s="1" t="s">
        <v>409</v>
      </c>
      <c r="F21" s="1" t="s">
        <v>8</v>
      </c>
      <c r="G21" s="1">
        <v>0</v>
      </c>
    </row>
    <row r="22" spans="1:7" x14ac:dyDescent="0.25">
      <c r="A22" s="1" t="s">
        <v>176</v>
      </c>
      <c r="B22" s="1" t="s">
        <v>30</v>
      </c>
      <c r="C22" s="1" t="s">
        <v>177</v>
      </c>
      <c r="D22" s="1" t="s">
        <v>178</v>
      </c>
      <c r="E22" s="1" t="s">
        <v>179</v>
      </c>
      <c r="F22" s="1" t="s">
        <v>8</v>
      </c>
      <c r="G22" s="1">
        <v>819.8</v>
      </c>
    </row>
    <row r="23" spans="1:7" x14ac:dyDescent="0.25">
      <c r="A23" s="1" t="s">
        <v>238</v>
      </c>
      <c r="B23" s="1" t="s">
        <v>10</v>
      </c>
      <c r="C23" s="1" t="s">
        <v>239</v>
      </c>
      <c r="D23" s="1" t="s">
        <v>240</v>
      </c>
      <c r="E23" s="1" t="s">
        <v>241</v>
      </c>
      <c r="F23" s="1" t="s">
        <v>8</v>
      </c>
      <c r="G23" s="1">
        <v>750</v>
      </c>
    </row>
    <row r="24" spans="1:7" x14ac:dyDescent="0.25">
      <c r="A24" s="1" t="s">
        <v>375</v>
      </c>
      <c r="B24" s="1" t="s">
        <v>10</v>
      </c>
      <c r="C24" s="1" t="s">
        <v>376</v>
      </c>
      <c r="D24" s="1" t="s">
        <v>377</v>
      </c>
      <c r="E24" s="1" t="s">
        <v>378</v>
      </c>
      <c r="F24" s="1" t="s">
        <v>8</v>
      </c>
      <c r="G24" s="1">
        <v>6147.11</v>
      </c>
    </row>
    <row r="25" spans="1:7" x14ac:dyDescent="0.25">
      <c r="A25" s="1" t="s">
        <v>381</v>
      </c>
      <c r="B25" s="1" t="s">
        <v>10</v>
      </c>
      <c r="C25" s="1" t="s">
        <v>382</v>
      </c>
      <c r="D25" s="1" t="s">
        <v>42</v>
      </c>
      <c r="E25" s="1" t="s">
        <v>383</v>
      </c>
      <c r="F25" s="1" t="s">
        <v>8</v>
      </c>
      <c r="G25" s="1">
        <v>180</v>
      </c>
    </row>
    <row r="26" spans="1:7" x14ac:dyDescent="0.25">
      <c r="A26" s="1" t="s">
        <v>482</v>
      </c>
      <c r="B26" s="1" t="s">
        <v>30</v>
      </c>
      <c r="C26" s="1" t="s">
        <v>479</v>
      </c>
      <c r="D26" s="1" t="s">
        <v>480</v>
      </c>
      <c r="E26" s="1" t="s">
        <v>483</v>
      </c>
      <c r="F26" s="1" t="s">
        <v>8</v>
      </c>
      <c r="G26" s="1">
        <v>0</v>
      </c>
    </row>
    <row r="27" spans="1:7" x14ac:dyDescent="0.25">
      <c r="A27" s="1" t="s">
        <v>364</v>
      </c>
      <c r="B27" s="1" t="s">
        <v>10</v>
      </c>
      <c r="C27" s="1" t="s">
        <v>355</v>
      </c>
      <c r="D27" s="1" t="s">
        <v>365</v>
      </c>
      <c r="E27" s="1" t="s">
        <v>366</v>
      </c>
      <c r="F27" s="1" t="s">
        <v>8</v>
      </c>
      <c r="G27" s="1">
        <v>940</v>
      </c>
    </row>
    <row r="28" spans="1:7" x14ac:dyDescent="0.25">
      <c r="A28" s="1" t="s">
        <v>361</v>
      </c>
      <c r="B28" s="1" t="s">
        <v>10</v>
      </c>
      <c r="C28" s="1" t="s">
        <v>355</v>
      </c>
      <c r="D28" s="1" t="s">
        <v>362</v>
      </c>
      <c r="E28" s="1" t="s">
        <v>363</v>
      </c>
      <c r="F28" s="1" t="s">
        <v>8</v>
      </c>
      <c r="G28" s="1">
        <v>400</v>
      </c>
    </row>
    <row r="29" spans="1:7" x14ac:dyDescent="0.25">
      <c r="A29" s="1" t="s">
        <v>358</v>
      </c>
      <c r="B29" s="1" t="s">
        <v>10</v>
      </c>
      <c r="C29" s="1" t="s">
        <v>355</v>
      </c>
      <c r="D29" s="1" t="s">
        <v>359</v>
      </c>
      <c r="E29" s="1" t="s">
        <v>360</v>
      </c>
      <c r="F29" s="1" t="s">
        <v>8</v>
      </c>
      <c r="G29" s="1">
        <v>400</v>
      </c>
    </row>
    <row r="30" spans="1:7" x14ac:dyDescent="0.25">
      <c r="A30" s="1" t="s">
        <v>354</v>
      </c>
      <c r="B30" s="1" t="s">
        <v>10</v>
      </c>
      <c r="C30" s="1" t="s">
        <v>355</v>
      </c>
      <c r="D30" s="1" t="s">
        <v>356</v>
      </c>
      <c r="E30" s="1" t="s">
        <v>357</v>
      </c>
      <c r="F30" s="1" t="s">
        <v>8</v>
      </c>
      <c r="G30" s="1">
        <v>350</v>
      </c>
    </row>
    <row r="31" spans="1:7" x14ac:dyDescent="0.25">
      <c r="A31" s="1" t="s">
        <v>367</v>
      </c>
      <c r="B31" s="1" t="s">
        <v>30</v>
      </c>
      <c r="C31" s="1" t="s">
        <v>355</v>
      </c>
      <c r="D31" s="1" t="s">
        <v>368</v>
      </c>
      <c r="E31" s="1" t="s">
        <v>369</v>
      </c>
      <c r="F31" s="1" t="s">
        <v>8</v>
      </c>
      <c r="G31" s="1">
        <v>509.66</v>
      </c>
    </row>
    <row r="32" spans="1:7" x14ac:dyDescent="0.25">
      <c r="A32" s="1" t="s">
        <v>146</v>
      </c>
      <c r="B32" s="1" t="s">
        <v>10</v>
      </c>
      <c r="C32" s="1" t="s">
        <v>141</v>
      </c>
      <c r="D32" s="1" t="s">
        <v>147</v>
      </c>
      <c r="E32" s="1" t="s">
        <v>148</v>
      </c>
      <c r="F32" s="1" t="s">
        <v>8</v>
      </c>
      <c r="G32" s="1">
        <v>107.5</v>
      </c>
    </row>
    <row r="33" spans="1:7" x14ac:dyDescent="0.25">
      <c r="A33" s="1" t="s">
        <v>80</v>
      </c>
      <c r="B33" s="1" t="s">
        <v>10</v>
      </c>
      <c r="C33" s="1" t="s">
        <v>23</v>
      </c>
      <c r="D33" s="1" t="s">
        <v>24</v>
      </c>
      <c r="E33" s="1" t="s">
        <v>81</v>
      </c>
      <c r="F33" s="1" t="s">
        <v>8</v>
      </c>
      <c r="G33" s="1">
        <v>2046.88</v>
      </c>
    </row>
    <row r="34" spans="1:7" x14ac:dyDescent="0.25">
      <c r="A34" s="1" t="s">
        <v>69</v>
      </c>
      <c r="B34" s="1" t="s">
        <v>10</v>
      </c>
      <c r="C34" s="1" t="s">
        <v>60</v>
      </c>
      <c r="D34" s="1" t="s">
        <v>70</v>
      </c>
      <c r="E34" s="1" t="s">
        <v>71</v>
      </c>
      <c r="F34" s="1" t="s">
        <v>8</v>
      </c>
      <c r="G34" s="1">
        <v>2056.25</v>
      </c>
    </row>
    <row r="35" spans="1:7" x14ac:dyDescent="0.25">
      <c r="A35" s="1" t="s">
        <v>63</v>
      </c>
      <c r="B35" s="1" t="s">
        <v>10</v>
      </c>
      <c r="C35" s="1" t="s">
        <v>60</v>
      </c>
      <c r="D35" s="1" t="s">
        <v>64</v>
      </c>
      <c r="E35" s="1" t="s">
        <v>65</v>
      </c>
      <c r="F35" s="1" t="s">
        <v>8</v>
      </c>
      <c r="G35" s="1">
        <v>1919</v>
      </c>
    </row>
    <row r="36" spans="1:7" x14ac:dyDescent="0.25">
      <c r="A36" s="1" t="s">
        <v>475</v>
      </c>
      <c r="B36" s="1" t="s">
        <v>10</v>
      </c>
      <c r="C36" s="1" t="s">
        <v>452</v>
      </c>
      <c r="D36" s="1" t="s">
        <v>476</v>
      </c>
      <c r="E36" s="1" t="s">
        <v>477</v>
      </c>
      <c r="F36" s="1" t="s">
        <v>8</v>
      </c>
      <c r="G36" s="1">
        <v>751.8</v>
      </c>
    </row>
    <row r="37" spans="1:7" x14ac:dyDescent="0.25">
      <c r="A37" s="1" t="s">
        <v>472</v>
      </c>
      <c r="B37" s="1" t="s">
        <v>10</v>
      </c>
      <c r="C37" s="1" t="s">
        <v>452</v>
      </c>
      <c r="D37" s="1" t="s">
        <v>473</v>
      </c>
      <c r="E37" s="1" t="s">
        <v>474</v>
      </c>
      <c r="F37" s="1" t="s">
        <v>8</v>
      </c>
      <c r="G37" s="1">
        <v>1007.48</v>
      </c>
    </row>
    <row r="38" spans="1:7" x14ac:dyDescent="0.25">
      <c r="A38" s="1" t="s">
        <v>470</v>
      </c>
      <c r="B38" s="1" t="s">
        <v>30</v>
      </c>
      <c r="C38" s="1" t="s">
        <v>452</v>
      </c>
      <c r="D38" s="1" t="s">
        <v>453</v>
      </c>
      <c r="E38" s="1" t="s">
        <v>471</v>
      </c>
      <c r="F38" s="1" t="s">
        <v>8</v>
      </c>
      <c r="G38" s="1">
        <v>1139.08</v>
      </c>
    </row>
    <row r="39" spans="1:7" x14ac:dyDescent="0.25">
      <c r="A39" s="1" t="s">
        <v>467</v>
      </c>
      <c r="B39" s="1" t="s">
        <v>10</v>
      </c>
      <c r="C39" s="1" t="s">
        <v>452</v>
      </c>
      <c r="D39" s="1" t="s">
        <v>468</v>
      </c>
      <c r="E39" s="1" t="s">
        <v>469</v>
      </c>
      <c r="F39" s="1" t="s">
        <v>8</v>
      </c>
      <c r="G39" s="1">
        <v>1842.64</v>
      </c>
    </row>
    <row r="40" spans="1:7" x14ac:dyDescent="0.25">
      <c r="A40" s="1" t="s">
        <v>464</v>
      </c>
      <c r="B40" s="1" t="s">
        <v>10</v>
      </c>
      <c r="C40" s="1" t="s">
        <v>452</v>
      </c>
      <c r="D40" s="1" t="s">
        <v>465</v>
      </c>
      <c r="E40" s="1" t="s">
        <v>466</v>
      </c>
      <c r="F40" s="1" t="s">
        <v>8</v>
      </c>
      <c r="G40" s="1">
        <v>2741.04</v>
      </c>
    </row>
    <row r="41" spans="1:7" x14ac:dyDescent="0.25">
      <c r="A41" s="1" t="s">
        <v>461</v>
      </c>
      <c r="B41" s="1" t="s">
        <v>10</v>
      </c>
      <c r="C41" s="1" t="s">
        <v>452</v>
      </c>
      <c r="D41" s="1" t="s">
        <v>462</v>
      </c>
      <c r="E41" s="1" t="s">
        <v>463</v>
      </c>
      <c r="F41" s="1" t="s">
        <v>8</v>
      </c>
      <c r="G41" s="1">
        <v>926.64</v>
      </c>
    </row>
    <row r="42" spans="1:7" x14ac:dyDescent="0.25">
      <c r="A42" s="1" t="s">
        <v>458</v>
      </c>
      <c r="B42" s="1" t="s">
        <v>10</v>
      </c>
      <c r="C42" s="1" t="s">
        <v>452</v>
      </c>
      <c r="D42" s="1" t="s">
        <v>459</v>
      </c>
      <c r="E42" s="1" t="s">
        <v>460</v>
      </c>
      <c r="F42" s="1" t="s">
        <v>8</v>
      </c>
      <c r="G42" s="1">
        <v>700</v>
      </c>
    </row>
    <row r="43" spans="1:7" x14ac:dyDescent="0.25">
      <c r="A43" s="1" t="s">
        <v>455</v>
      </c>
      <c r="B43" s="1" t="s">
        <v>10</v>
      </c>
      <c r="C43" s="1" t="s">
        <v>452</v>
      </c>
      <c r="D43" s="1" t="s">
        <v>456</v>
      </c>
      <c r="E43" s="1" t="s">
        <v>457</v>
      </c>
      <c r="F43" s="1" t="s">
        <v>8</v>
      </c>
      <c r="G43" s="1">
        <v>925.51</v>
      </c>
    </row>
    <row r="44" spans="1:7" x14ac:dyDescent="0.25">
      <c r="A44" s="1" t="s">
        <v>451</v>
      </c>
      <c r="B44" s="1" t="s">
        <v>10</v>
      </c>
      <c r="C44" s="1" t="s">
        <v>452</v>
      </c>
      <c r="D44" s="1" t="s">
        <v>453</v>
      </c>
      <c r="E44" s="1" t="s">
        <v>454</v>
      </c>
      <c r="F44" s="1" t="s">
        <v>8</v>
      </c>
      <c r="G44" s="1">
        <v>1139.08</v>
      </c>
    </row>
    <row r="45" spans="1:7" x14ac:dyDescent="0.25">
      <c r="A45" s="1" t="s">
        <v>448</v>
      </c>
      <c r="B45" s="1" t="s">
        <v>10</v>
      </c>
      <c r="C45" s="1" t="s">
        <v>331</v>
      </c>
      <c r="D45" s="1" t="s">
        <v>449</v>
      </c>
      <c r="E45" s="1" t="s">
        <v>450</v>
      </c>
      <c r="F45" s="1" t="s">
        <v>8</v>
      </c>
      <c r="G45" s="1">
        <v>0</v>
      </c>
    </row>
    <row r="46" spans="1:7" x14ac:dyDescent="0.25">
      <c r="A46" s="1" t="s">
        <v>40</v>
      </c>
      <c r="B46" s="1" t="s">
        <v>10</v>
      </c>
      <c r="C46" s="1" t="s">
        <v>41</v>
      </c>
      <c r="D46" s="1" t="s">
        <v>42</v>
      </c>
      <c r="E46" s="1" t="s">
        <v>43</v>
      </c>
      <c r="F46" s="1" t="s">
        <v>8</v>
      </c>
      <c r="G46" s="1">
        <v>3618.67</v>
      </c>
    </row>
    <row r="47" spans="1:7" x14ac:dyDescent="0.25">
      <c r="A47" s="1" t="s">
        <v>410</v>
      </c>
      <c r="B47" s="1" t="s">
        <v>30</v>
      </c>
      <c r="C47" s="1" t="s">
        <v>41</v>
      </c>
      <c r="D47" s="1" t="s">
        <v>411</v>
      </c>
      <c r="E47" s="1" t="s">
        <v>412</v>
      </c>
      <c r="F47" s="1" t="s">
        <v>8</v>
      </c>
      <c r="G47" s="1">
        <v>1644</v>
      </c>
    </row>
    <row r="48" spans="1:7" x14ac:dyDescent="0.25">
      <c r="A48" s="1" t="s">
        <v>444</v>
      </c>
      <c r="B48" s="1" t="s">
        <v>10</v>
      </c>
      <c r="C48" s="1" t="s">
        <v>445</v>
      </c>
      <c r="D48" s="1" t="s">
        <v>446</v>
      </c>
      <c r="E48" s="1" t="s">
        <v>447</v>
      </c>
      <c r="F48" s="1" t="s">
        <v>8</v>
      </c>
      <c r="G48" s="1">
        <v>6066.25</v>
      </c>
    </row>
    <row r="49" spans="1:7" x14ac:dyDescent="0.25">
      <c r="A49" s="1" t="s">
        <v>441</v>
      </c>
      <c r="B49" s="1" t="s">
        <v>10</v>
      </c>
      <c r="C49" s="1" t="s">
        <v>432</v>
      </c>
      <c r="D49" s="1" t="s">
        <v>442</v>
      </c>
      <c r="E49" s="1" t="s">
        <v>443</v>
      </c>
      <c r="F49" s="1" t="s">
        <v>8</v>
      </c>
      <c r="G49" s="1">
        <v>2250</v>
      </c>
    </row>
    <row r="50" spans="1:7" x14ac:dyDescent="0.25">
      <c r="A50" s="1" t="s">
        <v>351</v>
      </c>
      <c r="B50" s="1" t="s">
        <v>30</v>
      </c>
      <c r="C50" s="1" t="s">
        <v>77</v>
      </c>
      <c r="D50" s="1" t="s">
        <v>352</v>
      </c>
      <c r="E50" s="1" t="s">
        <v>353</v>
      </c>
      <c r="F50" s="1" t="s">
        <v>8</v>
      </c>
      <c r="G50" s="1">
        <v>270</v>
      </c>
    </row>
    <row r="51" spans="1:7" x14ac:dyDescent="0.25">
      <c r="A51" s="1" t="s">
        <v>110</v>
      </c>
      <c r="B51" s="1" t="s">
        <v>30</v>
      </c>
      <c r="C51" s="1" t="s">
        <v>111</v>
      </c>
      <c r="D51" s="1" t="s">
        <v>112</v>
      </c>
      <c r="E51" s="1" t="s">
        <v>113</v>
      </c>
      <c r="F51" s="1" t="s">
        <v>8</v>
      </c>
      <c r="G51" s="1">
        <v>1481.97</v>
      </c>
    </row>
    <row r="52" spans="1:7" x14ac:dyDescent="0.25">
      <c r="A52" s="1" t="s">
        <v>438</v>
      </c>
      <c r="B52" s="1" t="s">
        <v>10</v>
      </c>
      <c r="C52" s="1" t="s">
        <v>432</v>
      </c>
      <c r="D52" s="1" t="s">
        <v>439</v>
      </c>
      <c r="E52" s="1" t="s">
        <v>440</v>
      </c>
      <c r="F52" s="1" t="s">
        <v>8</v>
      </c>
      <c r="G52" s="1">
        <v>2909.5</v>
      </c>
    </row>
    <row r="53" spans="1:7" x14ac:dyDescent="0.25">
      <c r="A53" s="1" t="s">
        <v>222</v>
      </c>
      <c r="B53" s="1" t="s">
        <v>30</v>
      </c>
      <c r="C53" s="1" t="s">
        <v>223</v>
      </c>
      <c r="D53" s="1" t="s">
        <v>224</v>
      </c>
      <c r="E53" s="1" t="s">
        <v>225</v>
      </c>
      <c r="F53" s="1" t="s">
        <v>8</v>
      </c>
      <c r="G53" s="1">
        <v>892.68</v>
      </c>
    </row>
    <row r="54" spans="1:7" x14ac:dyDescent="0.25">
      <c r="A54" s="1" t="s">
        <v>435</v>
      </c>
      <c r="B54" s="1" t="s">
        <v>10</v>
      </c>
      <c r="C54" s="1" t="s">
        <v>301</v>
      </c>
      <c r="D54" s="1" t="s">
        <v>436</v>
      </c>
      <c r="E54" s="1" t="s">
        <v>437</v>
      </c>
      <c r="F54" s="1" t="s">
        <v>8</v>
      </c>
      <c r="G54" s="1">
        <v>1789.2</v>
      </c>
    </row>
    <row r="55" spans="1:7" x14ac:dyDescent="0.25">
      <c r="A55" s="1" t="s">
        <v>126</v>
      </c>
      <c r="B55" s="1" t="s">
        <v>10</v>
      </c>
      <c r="C55" s="1" t="s">
        <v>77</v>
      </c>
      <c r="D55" s="1" t="s">
        <v>127</v>
      </c>
      <c r="E55" s="1" t="s">
        <v>128</v>
      </c>
      <c r="F55" s="1" t="s">
        <v>8</v>
      </c>
      <c r="G55" s="1">
        <v>1500</v>
      </c>
    </row>
    <row r="56" spans="1:7" x14ac:dyDescent="0.25">
      <c r="A56" s="1" t="s">
        <v>226</v>
      </c>
      <c r="B56" s="1" t="s">
        <v>30</v>
      </c>
      <c r="C56" s="1" t="s">
        <v>227</v>
      </c>
      <c r="D56" s="1" t="s">
        <v>228</v>
      </c>
      <c r="E56" s="1" t="s">
        <v>229</v>
      </c>
      <c r="F56" s="1" t="s">
        <v>8</v>
      </c>
      <c r="G56" s="1">
        <v>1499</v>
      </c>
    </row>
    <row r="57" spans="1:7" x14ac:dyDescent="0.25">
      <c r="A57" s="1" t="s">
        <v>431</v>
      </c>
      <c r="B57" s="1" t="s">
        <v>10</v>
      </c>
      <c r="C57" s="1" t="s">
        <v>432</v>
      </c>
      <c r="D57" s="1" t="s">
        <v>433</v>
      </c>
      <c r="E57" s="1" t="s">
        <v>434</v>
      </c>
      <c r="F57" s="1" t="s">
        <v>8</v>
      </c>
      <c r="G57" s="1">
        <v>5707</v>
      </c>
    </row>
    <row r="58" spans="1:7" x14ac:dyDescent="0.25">
      <c r="A58" s="1" t="s">
        <v>119</v>
      </c>
      <c r="B58" s="1" t="s">
        <v>10</v>
      </c>
      <c r="C58" s="1" t="s">
        <v>77</v>
      </c>
      <c r="D58" s="1" t="s">
        <v>120</v>
      </c>
      <c r="E58" s="1" t="s">
        <v>121</v>
      </c>
      <c r="F58" s="1" t="s">
        <v>8</v>
      </c>
      <c r="G58" s="1">
        <v>8000</v>
      </c>
    </row>
    <row r="59" spans="1:7" x14ac:dyDescent="0.25">
      <c r="A59" s="1" t="s">
        <v>153</v>
      </c>
      <c r="B59" s="1" t="s">
        <v>30</v>
      </c>
      <c r="C59" s="1" t="s">
        <v>150</v>
      </c>
      <c r="D59" s="1" t="s">
        <v>154</v>
      </c>
      <c r="E59" s="1" t="s">
        <v>155</v>
      </c>
      <c r="F59" s="1" t="s">
        <v>8</v>
      </c>
      <c r="G59" s="1">
        <v>144</v>
      </c>
    </row>
    <row r="60" spans="1:7" x14ac:dyDescent="0.25">
      <c r="A60" s="1" t="s">
        <v>428</v>
      </c>
      <c r="B60" s="1" t="s">
        <v>30</v>
      </c>
      <c r="C60" s="1" t="s">
        <v>320</v>
      </c>
      <c r="D60" s="1" t="s">
        <v>429</v>
      </c>
      <c r="E60" s="1" t="s">
        <v>430</v>
      </c>
      <c r="F60" s="1" t="s">
        <v>8</v>
      </c>
      <c r="G60" s="1">
        <v>3750</v>
      </c>
    </row>
    <row r="61" spans="1:7" x14ac:dyDescent="0.25">
      <c r="A61" s="1" t="s">
        <v>76</v>
      </c>
      <c r="B61" s="1" t="s">
        <v>10</v>
      </c>
      <c r="C61" s="1" t="s">
        <v>77</v>
      </c>
      <c r="D61" s="1" t="s">
        <v>78</v>
      </c>
      <c r="E61" s="1" t="s">
        <v>79</v>
      </c>
      <c r="F61" s="1" t="s">
        <v>8</v>
      </c>
      <c r="G61" s="1">
        <v>1909.95</v>
      </c>
    </row>
    <row r="62" spans="1:7" x14ac:dyDescent="0.25">
      <c r="A62" s="1" t="s">
        <v>424</v>
      </c>
      <c r="B62" s="1" t="s">
        <v>10</v>
      </c>
      <c r="C62" s="1" t="s">
        <v>425</v>
      </c>
      <c r="D62" s="1" t="s">
        <v>426</v>
      </c>
      <c r="E62" s="1" t="s">
        <v>427</v>
      </c>
      <c r="F62" s="1" t="s">
        <v>8</v>
      </c>
      <c r="G62" s="1">
        <v>696.1</v>
      </c>
    </row>
    <row r="63" spans="1:7" x14ac:dyDescent="0.25">
      <c r="A63" s="1" t="s">
        <v>420</v>
      </c>
      <c r="B63" s="1" t="s">
        <v>10</v>
      </c>
      <c r="C63" s="1" t="s">
        <v>421</v>
      </c>
      <c r="D63" s="1" t="s">
        <v>422</v>
      </c>
      <c r="E63" s="1" t="s">
        <v>423</v>
      </c>
      <c r="F63" s="1" t="s">
        <v>8</v>
      </c>
      <c r="G63" s="1">
        <v>840</v>
      </c>
    </row>
    <row r="64" spans="1:7" x14ac:dyDescent="0.25">
      <c r="A64" s="1" t="s">
        <v>416</v>
      </c>
      <c r="B64" s="1" t="s">
        <v>10</v>
      </c>
      <c r="C64" s="1" t="s">
        <v>417</v>
      </c>
      <c r="D64" s="1" t="s">
        <v>418</v>
      </c>
      <c r="E64" s="1" t="s">
        <v>419</v>
      </c>
      <c r="F64" s="1" t="s">
        <v>8</v>
      </c>
      <c r="G64" s="1">
        <v>390</v>
      </c>
    </row>
    <row r="65" spans="1:7" x14ac:dyDescent="0.25">
      <c r="A65" s="1" t="s">
        <v>413</v>
      </c>
      <c r="B65" s="1" t="s">
        <v>10</v>
      </c>
      <c r="C65" s="1" t="s">
        <v>389</v>
      </c>
      <c r="D65" s="1" t="s">
        <v>414</v>
      </c>
      <c r="E65" s="1" t="s">
        <v>415</v>
      </c>
      <c r="F65" s="1" t="s">
        <v>8</v>
      </c>
      <c r="G65" s="1">
        <v>2673</v>
      </c>
    </row>
    <row r="66" spans="1:7" x14ac:dyDescent="0.25">
      <c r="A66" s="1" t="s">
        <v>404</v>
      </c>
      <c r="B66" s="1" t="s">
        <v>10</v>
      </c>
      <c r="C66" s="1" t="s">
        <v>389</v>
      </c>
      <c r="D66" s="1" t="s">
        <v>405</v>
      </c>
      <c r="E66" s="1" t="s">
        <v>406</v>
      </c>
      <c r="F66" s="1" t="s">
        <v>8</v>
      </c>
      <c r="G66" s="1">
        <v>630</v>
      </c>
    </row>
    <row r="67" spans="1:7" x14ac:dyDescent="0.25">
      <c r="A67" s="1" t="s">
        <v>401</v>
      </c>
      <c r="B67" s="1" t="s">
        <v>10</v>
      </c>
      <c r="C67" s="1" t="s">
        <v>385</v>
      </c>
      <c r="D67" s="1" t="s">
        <v>402</v>
      </c>
      <c r="E67" s="1" t="s">
        <v>403</v>
      </c>
      <c r="F67" s="1" t="s">
        <v>8</v>
      </c>
      <c r="G67" s="1">
        <v>119.67</v>
      </c>
    </row>
    <row r="68" spans="1:7" x14ac:dyDescent="0.25">
      <c r="A68" s="1" t="s">
        <v>398</v>
      </c>
      <c r="B68" s="1" t="s">
        <v>10</v>
      </c>
      <c r="C68" s="1" t="s">
        <v>385</v>
      </c>
      <c r="D68" s="1" t="s">
        <v>399</v>
      </c>
      <c r="E68" s="1" t="s">
        <v>400</v>
      </c>
      <c r="F68" s="1" t="s">
        <v>8</v>
      </c>
      <c r="G68" s="1">
        <v>112.36</v>
      </c>
    </row>
    <row r="69" spans="1:7" x14ac:dyDescent="0.25">
      <c r="A69" s="1" t="s">
        <v>395</v>
      </c>
      <c r="B69" s="1" t="s">
        <v>10</v>
      </c>
      <c r="C69" s="1" t="s">
        <v>301</v>
      </c>
      <c r="D69" s="1" t="s">
        <v>396</v>
      </c>
      <c r="E69" s="1" t="s">
        <v>397</v>
      </c>
      <c r="F69" s="1" t="s">
        <v>8</v>
      </c>
      <c r="G69" s="1">
        <v>1789.2</v>
      </c>
    </row>
    <row r="70" spans="1:7" x14ac:dyDescent="0.25">
      <c r="A70" s="1" t="s">
        <v>392</v>
      </c>
      <c r="B70" s="1" t="s">
        <v>10</v>
      </c>
      <c r="C70" s="1" t="s">
        <v>385</v>
      </c>
      <c r="D70" s="1" t="s">
        <v>393</v>
      </c>
      <c r="E70" s="1" t="s">
        <v>394</v>
      </c>
      <c r="F70" s="1" t="s">
        <v>8</v>
      </c>
      <c r="G70" s="1">
        <v>98.97</v>
      </c>
    </row>
    <row r="71" spans="1:7" x14ac:dyDescent="0.25">
      <c r="A71" s="1" t="s">
        <v>388</v>
      </c>
      <c r="B71" s="1" t="s">
        <v>10</v>
      </c>
      <c r="C71" s="1" t="s">
        <v>389</v>
      </c>
      <c r="D71" s="1" t="s">
        <v>390</v>
      </c>
      <c r="E71" s="1" t="s">
        <v>391</v>
      </c>
      <c r="F71" s="1" t="s">
        <v>8</v>
      </c>
      <c r="G71" s="1">
        <v>3000</v>
      </c>
    </row>
    <row r="72" spans="1:7" x14ac:dyDescent="0.25">
      <c r="A72" s="1" t="s">
        <v>384</v>
      </c>
      <c r="B72" s="1" t="s">
        <v>10</v>
      </c>
      <c r="C72" s="1" t="s">
        <v>385</v>
      </c>
      <c r="D72" s="1" t="s">
        <v>386</v>
      </c>
      <c r="E72" s="1" t="s">
        <v>387</v>
      </c>
      <c r="F72" s="1" t="s">
        <v>8</v>
      </c>
      <c r="G72" s="1">
        <v>224.75</v>
      </c>
    </row>
    <row r="73" spans="1:7" x14ac:dyDescent="0.25">
      <c r="A73" s="1" t="s">
        <v>258</v>
      </c>
      <c r="B73" s="1" t="s">
        <v>30</v>
      </c>
      <c r="C73" s="1" t="s">
        <v>251</v>
      </c>
      <c r="D73" s="1" t="s">
        <v>259</v>
      </c>
      <c r="E73" s="1" t="s">
        <v>260</v>
      </c>
      <c r="F73" s="1" t="s">
        <v>8</v>
      </c>
      <c r="G73" s="1">
        <v>840.8</v>
      </c>
    </row>
    <row r="74" spans="1:7" x14ac:dyDescent="0.25">
      <c r="A74" s="1" t="s">
        <v>379</v>
      </c>
      <c r="B74" s="1" t="s">
        <v>30</v>
      </c>
      <c r="C74" s="1" t="s">
        <v>294</v>
      </c>
      <c r="D74" s="1" t="s">
        <v>295</v>
      </c>
      <c r="E74" s="1" t="s">
        <v>380</v>
      </c>
      <c r="F74" s="1" t="s">
        <v>8</v>
      </c>
      <c r="G74" s="1">
        <v>0</v>
      </c>
    </row>
    <row r="75" spans="1:7" x14ac:dyDescent="0.25">
      <c r="A75" s="1" t="s">
        <v>373</v>
      </c>
      <c r="B75" s="1" t="s">
        <v>30</v>
      </c>
      <c r="C75" s="1" t="s">
        <v>294</v>
      </c>
      <c r="D75" s="1" t="s">
        <v>298</v>
      </c>
      <c r="E75" s="1" t="s">
        <v>374</v>
      </c>
      <c r="F75" s="1" t="s">
        <v>8</v>
      </c>
      <c r="G75" s="1">
        <v>0</v>
      </c>
    </row>
    <row r="76" spans="1:7" x14ac:dyDescent="0.25">
      <c r="A76" s="1" t="s">
        <v>370</v>
      </c>
      <c r="B76" s="1" t="s">
        <v>10</v>
      </c>
      <c r="C76" s="1" t="s">
        <v>301</v>
      </c>
      <c r="D76" s="1" t="s">
        <v>371</v>
      </c>
      <c r="E76" s="1" t="s">
        <v>372</v>
      </c>
      <c r="F76" s="1" t="s">
        <v>8</v>
      </c>
      <c r="G76" s="1">
        <v>500.4</v>
      </c>
    </row>
    <row r="77" spans="1:7" x14ac:dyDescent="0.25">
      <c r="A77" s="1" t="s">
        <v>250</v>
      </c>
      <c r="B77" s="1" t="s">
        <v>10</v>
      </c>
      <c r="C77" s="1" t="s">
        <v>251</v>
      </c>
      <c r="D77" s="1" t="s">
        <v>252</v>
      </c>
      <c r="E77" s="1" t="s">
        <v>253</v>
      </c>
      <c r="F77" s="1" t="s">
        <v>8</v>
      </c>
      <c r="G77" s="1">
        <v>3410</v>
      </c>
    </row>
    <row r="78" spans="1:7" x14ac:dyDescent="0.25">
      <c r="A78" s="1" t="s">
        <v>348</v>
      </c>
      <c r="B78" s="1" t="s">
        <v>30</v>
      </c>
      <c r="C78" s="1" t="s">
        <v>53</v>
      </c>
      <c r="D78" s="1" t="s">
        <v>349</v>
      </c>
      <c r="E78" s="1" t="s">
        <v>350</v>
      </c>
      <c r="F78" s="1" t="s">
        <v>8</v>
      </c>
      <c r="G78" s="1">
        <v>1500</v>
      </c>
    </row>
    <row r="79" spans="1:7" x14ac:dyDescent="0.25">
      <c r="A79" s="1" t="s">
        <v>344</v>
      </c>
      <c r="B79" s="1" t="s">
        <v>10</v>
      </c>
      <c r="C79" s="1" t="s">
        <v>345</v>
      </c>
      <c r="D79" s="1" t="s">
        <v>346</v>
      </c>
      <c r="E79" s="1" t="s">
        <v>347</v>
      </c>
      <c r="F79" s="1" t="s">
        <v>8</v>
      </c>
      <c r="G79" s="1">
        <v>34</v>
      </c>
    </row>
    <row r="80" spans="1:7" x14ac:dyDescent="0.25">
      <c r="A80" s="1" t="s">
        <v>341</v>
      </c>
      <c r="B80" s="1" t="s">
        <v>30</v>
      </c>
      <c r="C80" s="1" t="s">
        <v>290</v>
      </c>
      <c r="D80" s="1" t="s">
        <v>342</v>
      </c>
      <c r="E80" s="1" t="s">
        <v>343</v>
      </c>
      <c r="F80" s="1" t="s">
        <v>8</v>
      </c>
      <c r="G80" s="1">
        <v>8010</v>
      </c>
    </row>
    <row r="81" spans="1:7" x14ac:dyDescent="0.25">
      <c r="A81" s="1" t="s">
        <v>293</v>
      </c>
      <c r="B81" s="1" t="s">
        <v>30</v>
      </c>
      <c r="C81" s="1" t="s">
        <v>294</v>
      </c>
      <c r="D81" s="1" t="s">
        <v>295</v>
      </c>
      <c r="E81" s="1" t="s">
        <v>296</v>
      </c>
      <c r="F81" s="1" t="s">
        <v>8</v>
      </c>
      <c r="G81" s="1">
        <v>324</v>
      </c>
    </row>
    <row r="82" spans="1:7" x14ac:dyDescent="0.25">
      <c r="A82" s="1" t="s">
        <v>338</v>
      </c>
      <c r="B82" s="1" t="s">
        <v>30</v>
      </c>
      <c r="C82" s="1" t="s">
        <v>53</v>
      </c>
      <c r="D82" s="1" t="s">
        <v>339</v>
      </c>
      <c r="E82" s="1" t="s">
        <v>340</v>
      </c>
      <c r="F82" s="1" t="s">
        <v>8</v>
      </c>
      <c r="G82" s="1">
        <v>1500</v>
      </c>
    </row>
    <row r="83" spans="1:7" x14ac:dyDescent="0.25">
      <c r="A83" s="1" t="s">
        <v>242</v>
      </c>
      <c r="B83" s="1" t="s">
        <v>10</v>
      </c>
      <c r="C83" s="1" t="s">
        <v>243</v>
      </c>
      <c r="D83" s="1" t="s">
        <v>244</v>
      </c>
      <c r="E83" s="1" t="s">
        <v>245</v>
      </c>
      <c r="F83" s="1" t="s">
        <v>8</v>
      </c>
      <c r="G83" s="1">
        <v>4299.2</v>
      </c>
    </row>
    <row r="84" spans="1:7" x14ac:dyDescent="0.25">
      <c r="A84" s="1" t="s">
        <v>297</v>
      </c>
      <c r="B84" s="1" t="s">
        <v>30</v>
      </c>
      <c r="C84" s="1" t="s">
        <v>294</v>
      </c>
      <c r="D84" s="1" t="s">
        <v>298</v>
      </c>
      <c r="E84" s="1" t="s">
        <v>299</v>
      </c>
      <c r="F84" s="1" t="s">
        <v>8</v>
      </c>
      <c r="G84" s="1">
        <v>585.63</v>
      </c>
    </row>
    <row r="85" spans="1:7" x14ac:dyDescent="0.25">
      <c r="A85" s="1" t="s">
        <v>334</v>
      </c>
      <c r="B85" s="1" t="s">
        <v>10</v>
      </c>
      <c r="C85" s="1" t="s">
        <v>335</v>
      </c>
      <c r="D85" s="1" t="s">
        <v>336</v>
      </c>
      <c r="E85" s="1" t="s">
        <v>337</v>
      </c>
      <c r="F85" s="1" t="s">
        <v>8</v>
      </c>
      <c r="G85" s="1">
        <v>2305</v>
      </c>
    </row>
    <row r="86" spans="1:7" x14ac:dyDescent="0.25">
      <c r="A86" s="1" t="s">
        <v>261</v>
      </c>
      <c r="B86" s="1" t="s">
        <v>30</v>
      </c>
      <c r="C86" s="1" t="s">
        <v>262</v>
      </c>
      <c r="D86" s="1" t="s">
        <v>263</v>
      </c>
      <c r="E86" s="1" t="s">
        <v>264</v>
      </c>
      <c r="F86" s="1" t="s">
        <v>8</v>
      </c>
      <c r="G86" s="1">
        <v>3455</v>
      </c>
    </row>
    <row r="87" spans="1:7" x14ac:dyDescent="0.25">
      <c r="A87" s="1" t="s">
        <v>286</v>
      </c>
      <c r="B87" s="1" t="s">
        <v>10</v>
      </c>
      <c r="C87" s="1" t="s">
        <v>235</v>
      </c>
      <c r="D87" s="1" t="s">
        <v>287</v>
      </c>
      <c r="E87" s="1" t="s">
        <v>288</v>
      </c>
      <c r="F87" s="1" t="s">
        <v>8</v>
      </c>
      <c r="G87" s="1">
        <v>598.5</v>
      </c>
    </row>
    <row r="88" spans="1:7" x14ac:dyDescent="0.25">
      <c r="A88" s="1" t="s">
        <v>207</v>
      </c>
      <c r="B88" s="1" t="s">
        <v>10</v>
      </c>
      <c r="C88" s="1" t="s">
        <v>208</v>
      </c>
      <c r="D88" s="1" t="s">
        <v>209</v>
      </c>
      <c r="E88" s="1" t="s">
        <v>210</v>
      </c>
      <c r="F88" s="1" t="s">
        <v>8</v>
      </c>
      <c r="G88" s="1">
        <v>564.25</v>
      </c>
    </row>
    <row r="89" spans="1:7" x14ac:dyDescent="0.25">
      <c r="A89" s="1" t="s">
        <v>129</v>
      </c>
      <c r="B89" s="1" t="s">
        <v>10</v>
      </c>
      <c r="C89" s="1" t="s">
        <v>130</v>
      </c>
      <c r="D89" s="1" t="s">
        <v>131</v>
      </c>
      <c r="E89" s="1" t="s">
        <v>132</v>
      </c>
      <c r="F89" s="1" t="s">
        <v>8</v>
      </c>
      <c r="G89" s="1">
        <v>15740.66</v>
      </c>
    </row>
    <row r="90" spans="1:7" x14ac:dyDescent="0.25">
      <c r="A90" s="1" t="s">
        <v>106</v>
      </c>
      <c r="B90" s="1" t="s">
        <v>10</v>
      </c>
      <c r="C90" s="1" t="s">
        <v>107</v>
      </c>
      <c r="D90" s="1" t="s">
        <v>108</v>
      </c>
      <c r="E90" s="1" t="s">
        <v>109</v>
      </c>
      <c r="F90" s="1" t="s">
        <v>8</v>
      </c>
      <c r="G90" s="1">
        <v>2726.84</v>
      </c>
    </row>
    <row r="91" spans="1:7" x14ac:dyDescent="0.25">
      <c r="A91" s="1" t="s">
        <v>330</v>
      </c>
      <c r="B91" s="1" t="s">
        <v>10</v>
      </c>
      <c r="C91" s="1" t="s">
        <v>331</v>
      </c>
      <c r="D91" s="1" t="s">
        <v>332</v>
      </c>
      <c r="E91" s="1" t="s">
        <v>333</v>
      </c>
      <c r="F91" s="1" t="s">
        <v>8</v>
      </c>
      <c r="G91" s="1">
        <v>796.46</v>
      </c>
    </row>
    <row r="92" spans="1:7" x14ac:dyDescent="0.25">
      <c r="A92" s="1" t="s">
        <v>326</v>
      </c>
      <c r="B92" s="1" t="s">
        <v>10</v>
      </c>
      <c r="C92" s="1" t="s">
        <v>327</v>
      </c>
      <c r="D92" s="1" t="s">
        <v>328</v>
      </c>
      <c r="E92" s="1" t="s">
        <v>329</v>
      </c>
      <c r="F92" s="1" t="s">
        <v>8</v>
      </c>
      <c r="G92" s="1">
        <v>128.58000000000001</v>
      </c>
    </row>
    <row r="93" spans="1:7" x14ac:dyDescent="0.25">
      <c r="A93" s="1" t="s">
        <v>140</v>
      </c>
      <c r="B93" s="1" t="s">
        <v>10</v>
      </c>
      <c r="C93" s="1" t="s">
        <v>141</v>
      </c>
      <c r="D93" s="1" t="s">
        <v>42</v>
      </c>
      <c r="E93" s="1" t="s">
        <v>142</v>
      </c>
      <c r="F93" s="1" t="s">
        <v>8</v>
      </c>
      <c r="G93" s="1">
        <v>373.17</v>
      </c>
    </row>
    <row r="94" spans="1:7" x14ac:dyDescent="0.25">
      <c r="A94" s="1" t="s">
        <v>323</v>
      </c>
      <c r="B94" s="1" t="s">
        <v>30</v>
      </c>
      <c r="C94" s="1" t="s">
        <v>320</v>
      </c>
      <c r="D94" s="1" t="s">
        <v>324</v>
      </c>
      <c r="E94" s="1" t="s">
        <v>325</v>
      </c>
      <c r="F94" s="1" t="s">
        <v>8</v>
      </c>
      <c r="G94" s="1">
        <v>250</v>
      </c>
    </row>
    <row r="95" spans="1:7" x14ac:dyDescent="0.25">
      <c r="A95" s="1" t="s">
        <v>319</v>
      </c>
      <c r="B95" s="1" t="s">
        <v>10</v>
      </c>
      <c r="C95" s="1" t="s">
        <v>320</v>
      </c>
      <c r="D95" s="1" t="s">
        <v>321</v>
      </c>
      <c r="E95" s="1" t="s">
        <v>322</v>
      </c>
      <c r="F95" s="1" t="s">
        <v>8</v>
      </c>
      <c r="G95" s="1">
        <v>711</v>
      </c>
    </row>
    <row r="96" spans="1:7" x14ac:dyDescent="0.25">
      <c r="A96" s="1" t="s">
        <v>316</v>
      </c>
      <c r="B96" s="1" t="s">
        <v>10</v>
      </c>
      <c r="C96" s="1" t="s">
        <v>301</v>
      </c>
      <c r="D96" s="1" t="s">
        <v>317</v>
      </c>
      <c r="E96" s="1" t="s">
        <v>318</v>
      </c>
      <c r="F96" s="1" t="s">
        <v>8</v>
      </c>
      <c r="G96" s="1">
        <v>594</v>
      </c>
    </row>
    <row r="97" spans="1:7" x14ac:dyDescent="0.25">
      <c r="A97" s="1" t="s">
        <v>313</v>
      </c>
      <c r="B97" s="1" t="s">
        <v>10</v>
      </c>
      <c r="C97" s="1" t="s">
        <v>301</v>
      </c>
      <c r="D97" s="1" t="s">
        <v>314</v>
      </c>
      <c r="E97" s="1" t="s">
        <v>315</v>
      </c>
      <c r="F97" s="1" t="s">
        <v>8</v>
      </c>
      <c r="G97" s="1">
        <v>174.6</v>
      </c>
    </row>
    <row r="98" spans="1:7" x14ac:dyDescent="0.25">
      <c r="A98" s="1" t="s">
        <v>310</v>
      </c>
      <c r="B98" s="1" t="s">
        <v>10</v>
      </c>
      <c r="C98" s="1" t="s">
        <v>301</v>
      </c>
      <c r="D98" s="1" t="s">
        <v>311</v>
      </c>
      <c r="E98" s="1" t="s">
        <v>312</v>
      </c>
      <c r="F98" s="1" t="s">
        <v>8</v>
      </c>
      <c r="G98" s="1">
        <v>159</v>
      </c>
    </row>
    <row r="99" spans="1:7" x14ac:dyDescent="0.25">
      <c r="A99" s="1" t="s">
        <v>307</v>
      </c>
      <c r="B99" s="1" t="s">
        <v>10</v>
      </c>
      <c r="C99" s="1" t="s">
        <v>301</v>
      </c>
      <c r="D99" s="1" t="s">
        <v>308</v>
      </c>
      <c r="E99" s="1" t="s">
        <v>309</v>
      </c>
      <c r="F99" s="1" t="s">
        <v>8</v>
      </c>
      <c r="G99" s="1">
        <v>174.6</v>
      </c>
    </row>
    <row r="100" spans="1:7" x14ac:dyDescent="0.25">
      <c r="A100" s="1" t="s">
        <v>304</v>
      </c>
      <c r="B100" s="1" t="s">
        <v>10</v>
      </c>
      <c r="C100" s="1" t="s">
        <v>301</v>
      </c>
      <c r="D100" s="1" t="s">
        <v>305</v>
      </c>
      <c r="E100" s="1" t="s">
        <v>306</v>
      </c>
      <c r="F100" s="1" t="s">
        <v>8</v>
      </c>
      <c r="G100" s="1">
        <v>159</v>
      </c>
    </row>
    <row r="101" spans="1:7" x14ac:dyDescent="0.25">
      <c r="A101" s="1" t="s">
        <v>300</v>
      </c>
      <c r="B101" s="1" t="s">
        <v>10</v>
      </c>
      <c r="C101" s="1" t="s">
        <v>301</v>
      </c>
      <c r="D101" s="1" t="s">
        <v>302</v>
      </c>
      <c r="E101" s="1" t="s">
        <v>303</v>
      </c>
      <c r="F101" s="1" t="s">
        <v>8</v>
      </c>
      <c r="G101" s="1">
        <v>360</v>
      </c>
    </row>
    <row r="102" spans="1:7" x14ac:dyDescent="0.25">
      <c r="A102" s="1" t="s">
        <v>272</v>
      </c>
      <c r="B102" s="1" t="s">
        <v>30</v>
      </c>
      <c r="C102" s="1" t="s">
        <v>273</v>
      </c>
      <c r="D102" s="1" t="s">
        <v>274</v>
      </c>
      <c r="E102" s="1" t="s">
        <v>275</v>
      </c>
      <c r="F102" s="1" t="s">
        <v>8</v>
      </c>
      <c r="G102" s="1">
        <v>60</v>
      </c>
    </row>
    <row r="103" spans="1:7" x14ac:dyDescent="0.25">
      <c r="A103" s="1" t="s">
        <v>268</v>
      </c>
      <c r="B103" s="1" t="s">
        <v>10</v>
      </c>
      <c r="C103" s="1" t="s">
        <v>269</v>
      </c>
      <c r="D103" s="1" t="s">
        <v>270</v>
      </c>
      <c r="E103" s="1" t="s">
        <v>271</v>
      </c>
      <c r="F103" s="1" t="s">
        <v>8</v>
      </c>
      <c r="G103" s="1">
        <v>2000</v>
      </c>
    </row>
    <row r="104" spans="1:7" x14ac:dyDescent="0.25">
      <c r="A104" s="1" t="s">
        <v>289</v>
      </c>
      <c r="B104" s="1" t="s">
        <v>10</v>
      </c>
      <c r="C104" s="1" t="s">
        <v>290</v>
      </c>
      <c r="D104" s="1" t="s">
        <v>291</v>
      </c>
      <c r="E104" s="1" t="s">
        <v>292</v>
      </c>
      <c r="F104" s="1" t="s">
        <v>8</v>
      </c>
      <c r="G104" s="1">
        <v>8010</v>
      </c>
    </row>
    <row r="105" spans="1:7" x14ac:dyDescent="0.25">
      <c r="A105" s="1" t="s">
        <v>234</v>
      </c>
      <c r="B105" s="1" t="s">
        <v>10</v>
      </c>
      <c r="C105" s="1" t="s">
        <v>235</v>
      </c>
      <c r="D105" s="1" t="s">
        <v>236</v>
      </c>
      <c r="E105" s="1" t="s">
        <v>237</v>
      </c>
      <c r="F105" s="1" t="s">
        <v>8</v>
      </c>
      <c r="G105" s="1">
        <v>2010</v>
      </c>
    </row>
    <row r="106" spans="1:7" x14ac:dyDescent="0.25">
      <c r="A106" s="1" t="s">
        <v>279</v>
      </c>
      <c r="B106" s="1" t="s">
        <v>30</v>
      </c>
      <c r="C106" s="1" t="s">
        <v>255</v>
      </c>
      <c r="D106" s="1" t="s">
        <v>280</v>
      </c>
      <c r="E106" s="1" t="s">
        <v>281</v>
      </c>
      <c r="F106" s="1" t="s">
        <v>8</v>
      </c>
      <c r="G106" s="1">
        <v>0</v>
      </c>
    </row>
    <row r="107" spans="1:7" x14ac:dyDescent="0.25">
      <c r="A107" s="1" t="s">
        <v>276</v>
      </c>
      <c r="B107" s="1" t="s">
        <v>30</v>
      </c>
      <c r="C107" s="1" t="s">
        <v>273</v>
      </c>
      <c r="D107" s="1" t="s">
        <v>277</v>
      </c>
      <c r="E107" s="1" t="s">
        <v>278</v>
      </c>
      <c r="F107" s="1" t="s">
        <v>8</v>
      </c>
      <c r="G107" s="1">
        <v>43.98</v>
      </c>
    </row>
    <row r="108" spans="1:7" x14ac:dyDescent="0.25">
      <c r="A108" s="1" t="s">
        <v>200</v>
      </c>
      <c r="B108" s="1" t="s">
        <v>10</v>
      </c>
      <c r="C108" s="1" t="s">
        <v>197</v>
      </c>
      <c r="D108" s="1" t="s">
        <v>201</v>
      </c>
      <c r="E108" s="1" t="s">
        <v>202</v>
      </c>
      <c r="F108" s="1" t="s">
        <v>8</v>
      </c>
      <c r="G108" s="1">
        <v>1955</v>
      </c>
    </row>
    <row r="109" spans="1:7" x14ac:dyDescent="0.25">
      <c r="A109" s="1" t="s">
        <v>265</v>
      </c>
      <c r="B109" s="1" t="s">
        <v>10</v>
      </c>
      <c r="C109" s="1" t="s">
        <v>247</v>
      </c>
      <c r="D109" s="1" t="s">
        <v>266</v>
      </c>
      <c r="E109" s="1" t="s">
        <v>267</v>
      </c>
      <c r="F109" s="1" t="s">
        <v>8</v>
      </c>
      <c r="G109" s="1">
        <v>4340</v>
      </c>
    </row>
    <row r="110" spans="1:7" x14ac:dyDescent="0.25">
      <c r="A110" s="1" t="s">
        <v>196</v>
      </c>
      <c r="B110" s="1" t="s">
        <v>10</v>
      </c>
      <c r="C110" s="1" t="s">
        <v>197</v>
      </c>
      <c r="D110" s="1" t="s">
        <v>198</v>
      </c>
      <c r="E110" s="1" t="s">
        <v>199</v>
      </c>
      <c r="F110" s="1" t="s">
        <v>8</v>
      </c>
      <c r="G110" s="1">
        <v>321</v>
      </c>
    </row>
    <row r="111" spans="1:7" x14ac:dyDescent="0.25">
      <c r="A111" s="1" t="s">
        <v>254</v>
      </c>
      <c r="B111" s="1" t="s">
        <v>30</v>
      </c>
      <c r="C111" s="1" t="s">
        <v>255</v>
      </c>
      <c r="D111" s="1" t="s">
        <v>256</v>
      </c>
      <c r="E111" s="1" t="s">
        <v>257</v>
      </c>
      <c r="F111" s="1" t="s">
        <v>8</v>
      </c>
      <c r="G111" s="1">
        <v>0</v>
      </c>
    </row>
    <row r="112" spans="1:7" x14ac:dyDescent="0.25">
      <c r="A112" s="1" t="s">
        <v>246</v>
      </c>
      <c r="B112" s="1" t="s">
        <v>30</v>
      </c>
      <c r="C112" s="1" t="s">
        <v>247</v>
      </c>
      <c r="D112" s="1" t="s">
        <v>248</v>
      </c>
      <c r="E112" s="1" t="s">
        <v>249</v>
      </c>
      <c r="F112" s="1" t="s">
        <v>8</v>
      </c>
      <c r="G112" s="1">
        <v>50</v>
      </c>
    </row>
    <row r="113" spans="1:7" x14ac:dyDescent="0.25">
      <c r="A113" s="1" t="s">
        <v>158</v>
      </c>
      <c r="B113" s="1" t="s">
        <v>10</v>
      </c>
      <c r="C113" s="1" t="s">
        <v>144</v>
      </c>
      <c r="D113" s="1" t="s">
        <v>159</v>
      </c>
      <c r="E113" s="1" t="s">
        <v>160</v>
      </c>
      <c r="F113" s="1" t="s">
        <v>8</v>
      </c>
      <c r="G113" s="1">
        <v>127.5</v>
      </c>
    </row>
    <row r="114" spans="1:7" x14ac:dyDescent="0.25">
      <c r="A114" s="1" t="s">
        <v>230</v>
      </c>
      <c r="B114" s="1" t="s">
        <v>10</v>
      </c>
      <c r="C114" s="1" t="s">
        <v>231</v>
      </c>
      <c r="D114" s="1" t="s">
        <v>232</v>
      </c>
      <c r="E114" s="1" t="s">
        <v>233</v>
      </c>
      <c r="F114" s="1" t="s">
        <v>8</v>
      </c>
      <c r="G114" s="1">
        <v>415.52</v>
      </c>
    </row>
    <row r="115" spans="1:7" x14ac:dyDescent="0.25">
      <c r="A115" s="1" t="s">
        <v>220</v>
      </c>
      <c r="B115" s="1" t="s">
        <v>30</v>
      </c>
      <c r="C115" s="1" t="s">
        <v>162</v>
      </c>
      <c r="D115" s="1" t="s">
        <v>215</v>
      </c>
      <c r="E115" s="1" t="s">
        <v>221</v>
      </c>
      <c r="F115" s="1" t="s">
        <v>8</v>
      </c>
      <c r="G115" s="1">
        <v>1500</v>
      </c>
    </row>
    <row r="116" spans="1:7" x14ac:dyDescent="0.25">
      <c r="A116" s="1" t="s">
        <v>203</v>
      </c>
      <c r="B116" s="1" t="s">
        <v>30</v>
      </c>
      <c r="C116" s="1" t="s">
        <v>204</v>
      </c>
      <c r="D116" s="1" t="s">
        <v>205</v>
      </c>
      <c r="E116" s="1" t="s">
        <v>206</v>
      </c>
      <c r="F116" s="1" t="s">
        <v>8</v>
      </c>
      <c r="G116" s="1">
        <v>1051.0999999999999</v>
      </c>
    </row>
    <row r="117" spans="1:7" x14ac:dyDescent="0.25">
      <c r="A117" s="1" t="s">
        <v>143</v>
      </c>
      <c r="B117" s="1" t="s">
        <v>30</v>
      </c>
      <c r="C117" s="1" t="s">
        <v>144</v>
      </c>
      <c r="D117" s="1" t="s">
        <v>42</v>
      </c>
      <c r="E117" s="1" t="s">
        <v>145</v>
      </c>
      <c r="F117" s="1" t="s">
        <v>8</v>
      </c>
      <c r="G117" s="1">
        <v>125.31</v>
      </c>
    </row>
    <row r="118" spans="1:7" x14ac:dyDescent="0.25">
      <c r="A118" s="1" t="s">
        <v>217</v>
      </c>
      <c r="B118" s="1" t="s">
        <v>30</v>
      </c>
      <c r="C118" s="1" t="s">
        <v>218</v>
      </c>
      <c r="D118" s="1" t="s">
        <v>218</v>
      </c>
      <c r="E118" s="1" t="s">
        <v>219</v>
      </c>
      <c r="F118" s="1" t="s">
        <v>8</v>
      </c>
      <c r="G118" s="1">
        <v>108.16</v>
      </c>
    </row>
    <row r="119" spans="1:7" x14ac:dyDescent="0.25">
      <c r="A119" s="1" t="s">
        <v>86</v>
      </c>
      <c r="B119" s="1" t="s">
        <v>10</v>
      </c>
      <c r="C119" s="1" t="s">
        <v>87</v>
      </c>
      <c r="D119" s="1" t="s">
        <v>88</v>
      </c>
      <c r="E119" s="1" t="s">
        <v>89</v>
      </c>
      <c r="F119" s="1" t="s">
        <v>8</v>
      </c>
      <c r="G119" s="1">
        <v>3227.5</v>
      </c>
    </row>
    <row r="120" spans="1:7" x14ac:dyDescent="0.25">
      <c r="A120" s="1" t="s">
        <v>214</v>
      </c>
      <c r="B120" s="1" t="s">
        <v>30</v>
      </c>
      <c r="C120" s="1" t="s">
        <v>162</v>
      </c>
      <c r="D120" s="1" t="s">
        <v>215</v>
      </c>
      <c r="E120" s="1" t="s">
        <v>216</v>
      </c>
      <c r="F120" s="1" t="s">
        <v>8</v>
      </c>
      <c r="G120" s="1">
        <v>1000</v>
      </c>
    </row>
    <row r="121" spans="1:7" x14ac:dyDescent="0.25">
      <c r="A121" s="1" t="s">
        <v>211</v>
      </c>
      <c r="B121" s="1" t="s">
        <v>30</v>
      </c>
      <c r="C121" s="1" t="s">
        <v>162</v>
      </c>
      <c r="D121" s="1" t="s">
        <v>212</v>
      </c>
      <c r="E121" s="1" t="s">
        <v>213</v>
      </c>
      <c r="F121" s="1" t="s">
        <v>8</v>
      </c>
      <c r="G121" s="1">
        <v>720</v>
      </c>
    </row>
    <row r="122" spans="1:7" x14ac:dyDescent="0.25">
      <c r="A122" s="1" t="s">
        <v>193</v>
      </c>
      <c r="B122" s="1" t="s">
        <v>10</v>
      </c>
      <c r="C122" s="1" t="s">
        <v>166</v>
      </c>
      <c r="D122" s="1" t="s">
        <v>194</v>
      </c>
      <c r="E122" s="1" t="s">
        <v>195</v>
      </c>
      <c r="F122" s="1" t="s">
        <v>8</v>
      </c>
      <c r="G122" s="1">
        <v>750</v>
      </c>
    </row>
    <row r="123" spans="1:7" x14ac:dyDescent="0.25">
      <c r="A123" s="1" t="s">
        <v>190</v>
      </c>
      <c r="B123" s="1" t="s">
        <v>10</v>
      </c>
      <c r="C123" s="1" t="s">
        <v>173</v>
      </c>
      <c r="D123" s="1" t="s">
        <v>191</v>
      </c>
      <c r="E123" s="1" t="s">
        <v>192</v>
      </c>
      <c r="F123" s="1" t="s">
        <v>8</v>
      </c>
      <c r="G123" s="1">
        <v>240</v>
      </c>
    </row>
    <row r="124" spans="1:7" x14ac:dyDescent="0.25">
      <c r="A124" s="1" t="s">
        <v>187</v>
      </c>
      <c r="B124" s="1" t="s">
        <v>10</v>
      </c>
      <c r="C124" s="1" t="s">
        <v>166</v>
      </c>
      <c r="D124" s="1" t="s">
        <v>188</v>
      </c>
      <c r="E124" s="1" t="s">
        <v>189</v>
      </c>
      <c r="F124" s="1" t="s">
        <v>8</v>
      </c>
      <c r="G124" s="1">
        <v>750</v>
      </c>
    </row>
    <row r="125" spans="1:7" x14ac:dyDescent="0.25">
      <c r="A125" s="1" t="s">
        <v>183</v>
      </c>
      <c r="B125" s="1" t="s">
        <v>10</v>
      </c>
      <c r="C125" s="1" t="s">
        <v>184</v>
      </c>
      <c r="D125" s="1" t="s">
        <v>185</v>
      </c>
      <c r="E125" s="1" t="s">
        <v>186</v>
      </c>
      <c r="F125" s="1" t="s">
        <v>8</v>
      </c>
      <c r="G125" s="1">
        <v>50</v>
      </c>
    </row>
    <row r="126" spans="1:7" x14ac:dyDescent="0.25">
      <c r="A126" s="1" t="s">
        <v>180</v>
      </c>
      <c r="B126" s="1" t="s">
        <v>10</v>
      </c>
      <c r="C126" s="1" t="s">
        <v>166</v>
      </c>
      <c r="D126" s="1" t="s">
        <v>181</v>
      </c>
      <c r="E126" s="1" t="s">
        <v>182</v>
      </c>
      <c r="F126" s="1" t="s">
        <v>8</v>
      </c>
      <c r="G126" s="1">
        <v>750</v>
      </c>
    </row>
    <row r="127" spans="1:7" x14ac:dyDescent="0.25">
      <c r="A127" s="1" t="s">
        <v>172</v>
      </c>
      <c r="B127" s="1" t="s">
        <v>10</v>
      </c>
      <c r="C127" s="1" t="s">
        <v>173</v>
      </c>
      <c r="D127" s="1" t="s">
        <v>174</v>
      </c>
      <c r="E127" s="1" t="s">
        <v>175</v>
      </c>
      <c r="F127" s="1" t="s">
        <v>8</v>
      </c>
      <c r="G127" s="1">
        <v>1600</v>
      </c>
    </row>
    <row r="128" spans="1:7" x14ac:dyDescent="0.25">
      <c r="A128" s="1" t="s">
        <v>169</v>
      </c>
      <c r="B128" s="1" t="s">
        <v>10</v>
      </c>
      <c r="C128" s="1" t="s">
        <v>166</v>
      </c>
      <c r="D128" s="1" t="s">
        <v>170</v>
      </c>
      <c r="E128" s="1" t="s">
        <v>171</v>
      </c>
      <c r="F128" s="1" t="s">
        <v>8</v>
      </c>
      <c r="G128" s="1">
        <v>750</v>
      </c>
    </row>
    <row r="129" spans="1:7" x14ac:dyDescent="0.25">
      <c r="A129" s="1" t="s">
        <v>165</v>
      </c>
      <c r="B129" s="1" t="s">
        <v>10</v>
      </c>
      <c r="C129" s="1" t="s">
        <v>166</v>
      </c>
      <c r="D129" s="1" t="s">
        <v>167</v>
      </c>
      <c r="E129" s="1" t="s">
        <v>168</v>
      </c>
      <c r="F129" s="1" t="s">
        <v>8</v>
      </c>
      <c r="G129" s="1">
        <v>750</v>
      </c>
    </row>
    <row r="130" spans="1:7" x14ac:dyDescent="0.25">
      <c r="A130" s="1" t="s">
        <v>161</v>
      </c>
      <c r="B130" s="1" t="s">
        <v>10</v>
      </c>
      <c r="C130" s="1" t="s">
        <v>162</v>
      </c>
      <c r="D130" s="1" t="s">
        <v>163</v>
      </c>
      <c r="E130" s="1" t="s">
        <v>164</v>
      </c>
      <c r="F130" s="1" t="s">
        <v>8</v>
      </c>
      <c r="G130" s="1">
        <v>2000</v>
      </c>
    </row>
    <row r="131" spans="1:7" x14ac:dyDescent="0.25">
      <c r="A131" s="1" t="s">
        <v>122</v>
      </c>
      <c r="B131" s="1" t="s">
        <v>30</v>
      </c>
      <c r="C131" s="1" t="s">
        <v>123</v>
      </c>
      <c r="D131" s="1" t="s">
        <v>124</v>
      </c>
      <c r="E131" s="1" t="s">
        <v>125</v>
      </c>
      <c r="F131" s="1" t="s">
        <v>8</v>
      </c>
      <c r="G131" s="1">
        <v>29</v>
      </c>
    </row>
    <row r="132" spans="1:7" x14ac:dyDescent="0.25">
      <c r="A132" s="1" t="s">
        <v>156</v>
      </c>
      <c r="B132" s="1" t="s">
        <v>10</v>
      </c>
      <c r="C132" s="1" t="s">
        <v>93</v>
      </c>
      <c r="D132" s="1" t="s">
        <v>98</v>
      </c>
      <c r="E132" s="1" t="s">
        <v>157</v>
      </c>
      <c r="F132" s="1" t="s">
        <v>8</v>
      </c>
      <c r="G132" s="1">
        <v>0</v>
      </c>
    </row>
    <row r="133" spans="1:7" x14ac:dyDescent="0.25">
      <c r="A133" s="1" t="s">
        <v>90</v>
      </c>
      <c r="B133" s="1" t="s">
        <v>10</v>
      </c>
      <c r="C133" s="1" t="s">
        <v>87</v>
      </c>
      <c r="D133" s="1" t="s">
        <v>91</v>
      </c>
      <c r="E133" s="1" t="s">
        <v>92</v>
      </c>
      <c r="F133" s="1" t="s">
        <v>8</v>
      </c>
      <c r="G133" s="1">
        <v>14400</v>
      </c>
    </row>
    <row r="134" spans="1:7" x14ac:dyDescent="0.25">
      <c r="A134" s="1" t="s">
        <v>149</v>
      </c>
      <c r="B134" s="1" t="s">
        <v>10</v>
      </c>
      <c r="C134" s="1" t="s">
        <v>150</v>
      </c>
      <c r="D134" s="1" t="s">
        <v>151</v>
      </c>
      <c r="E134" s="1" t="s">
        <v>152</v>
      </c>
      <c r="F134" s="1" t="s">
        <v>8</v>
      </c>
      <c r="G134" s="1">
        <v>15</v>
      </c>
    </row>
    <row r="135" spans="1:7" x14ac:dyDescent="0.25">
      <c r="A135" s="1" t="s">
        <v>48</v>
      </c>
      <c r="B135" s="1" t="s">
        <v>30</v>
      </c>
      <c r="C135" s="1" t="s">
        <v>49</v>
      </c>
      <c r="D135" s="1" t="s">
        <v>50</v>
      </c>
      <c r="E135" s="1" t="s">
        <v>51</v>
      </c>
      <c r="F135" s="1" t="s">
        <v>8</v>
      </c>
      <c r="G135" s="1">
        <v>3975</v>
      </c>
    </row>
    <row r="136" spans="1:7" x14ac:dyDescent="0.25">
      <c r="A136" s="1" t="s">
        <v>97</v>
      </c>
      <c r="B136" s="1" t="s">
        <v>30</v>
      </c>
      <c r="C136" s="1" t="s">
        <v>93</v>
      </c>
      <c r="D136" s="1" t="s">
        <v>98</v>
      </c>
      <c r="E136" s="1" t="s">
        <v>99</v>
      </c>
      <c r="F136" s="1" t="s">
        <v>8</v>
      </c>
      <c r="G136" s="1">
        <v>0</v>
      </c>
    </row>
    <row r="137" spans="1:7" x14ac:dyDescent="0.25">
      <c r="A137" s="1" t="s">
        <v>136</v>
      </c>
      <c r="B137" s="1" t="s">
        <v>10</v>
      </c>
      <c r="C137" s="1" t="s">
        <v>137</v>
      </c>
      <c r="D137" s="1" t="s">
        <v>138</v>
      </c>
      <c r="E137" s="1" t="s">
        <v>139</v>
      </c>
      <c r="F137" s="1" t="s">
        <v>8</v>
      </c>
      <c r="G137" s="1">
        <v>1820</v>
      </c>
    </row>
    <row r="138" spans="1:7" x14ac:dyDescent="0.25">
      <c r="A138" s="1" t="s">
        <v>133</v>
      </c>
      <c r="B138" s="1" t="s">
        <v>30</v>
      </c>
      <c r="C138" s="1" t="s">
        <v>7</v>
      </c>
      <c r="D138" s="1" t="s">
        <v>134</v>
      </c>
      <c r="E138" s="1" t="s">
        <v>135</v>
      </c>
      <c r="F138" s="1" t="s">
        <v>8</v>
      </c>
      <c r="G138" s="1">
        <v>605</v>
      </c>
    </row>
    <row r="139" spans="1:7" x14ac:dyDescent="0.25">
      <c r="A139" s="1" t="s">
        <v>95</v>
      </c>
      <c r="B139" s="1" t="s">
        <v>30</v>
      </c>
      <c r="C139" s="1" t="s">
        <v>93</v>
      </c>
      <c r="D139" s="1" t="s">
        <v>94</v>
      </c>
      <c r="E139" s="1" t="s">
        <v>96</v>
      </c>
      <c r="F139" s="1" t="s">
        <v>8</v>
      </c>
      <c r="G139" s="1">
        <v>1602</v>
      </c>
    </row>
    <row r="140" spans="1:7" x14ac:dyDescent="0.25">
      <c r="A140" s="1" t="s">
        <v>103</v>
      </c>
      <c r="B140" s="1" t="s">
        <v>30</v>
      </c>
      <c r="C140" s="1" t="s">
        <v>7</v>
      </c>
      <c r="D140" s="1" t="s">
        <v>104</v>
      </c>
      <c r="E140" s="1" t="s">
        <v>105</v>
      </c>
      <c r="F140" s="1" t="s">
        <v>8</v>
      </c>
      <c r="G140" s="1">
        <v>585</v>
      </c>
    </row>
    <row r="141" spans="1:7" x14ac:dyDescent="0.25">
      <c r="A141" s="1" t="s">
        <v>117</v>
      </c>
      <c r="B141" s="1" t="s">
        <v>30</v>
      </c>
      <c r="C141" s="1" t="s">
        <v>93</v>
      </c>
      <c r="D141" s="1" t="s">
        <v>94</v>
      </c>
      <c r="E141" s="1" t="s">
        <v>118</v>
      </c>
      <c r="F141" s="1" t="s">
        <v>8</v>
      </c>
      <c r="G141" s="1">
        <v>1000</v>
      </c>
    </row>
    <row r="142" spans="1:7" x14ac:dyDescent="0.25">
      <c r="A142" s="1" t="s">
        <v>114</v>
      </c>
      <c r="B142" s="1" t="s">
        <v>10</v>
      </c>
      <c r="C142" s="1" t="s">
        <v>115</v>
      </c>
      <c r="D142" s="1" t="s">
        <v>42</v>
      </c>
      <c r="E142" s="1" t="s">
        <v>116</v>
      </c>
      <c r="F142" s="1" t="s">
        <v>8</v>
      </c>
      <c r="G142" s="1">
        <v>900</v>
      </c>
    </row>
    <row r="143" spans="1:7" x14ac:dyDescent="0.25">
      <c r="A143" s="1" t="s">
        <v>72</v>
      </c>
      <c r="B143" s="1" t="s">
        <v>30</v>
      </c>
      <c r="C143" s="1" t="s">
        <v>73</v>
      </c>
      <c r="D143" s="1" t="s">
        <v>74</v>
      </c>
      <c r="E143" s="1" t="s">
        <v>75</v>
      </c>
      <c r="F143" s="1" t="s">
        <v>8</v>
      </c>
      <c r="G143" s="1">
        <v>780.83</v>
      </c>
    </row>
    <row r="144" spans="1:7" x14ac:dyDescent="0.25">
      <c r="A144" s="1" t="s">
        <v>56</v>
      </c>
      <c r="B144" s="1" t="s">
        <v>30</v>
      </c>
      <c r="C144" s="1" t="s">
        <v>49</v>
      </c>
      <c r="D144" s="1" t="s">
        <v>57</v>
      </c>
      <c r="E144" s="1" t="s">
        <v>58</v>
      </c>
      <c r="F144" s="1" t="s">
        <v>8</v>
      </c>
      <c r="G144" s="1">
        <v>500</v>
      </c>
    </row>
    <row r="145" spans="1:7" x14ac:dyDescent="0.25">
      <c r="A145" s="1" t="s">
        <v>100</v>
      </c>
      <c r="B145" s="1" t="s">
        <v>10</v>
      </c>
      <c r="C145" s="1" t="s">
        <v>73</v>
      </c>
      <c r="D145" s="1" t="s">
        <v>101</v>
      </c>
      <c r="E145" s="1" t="s">
        <v>102</v>
      </c>
      <c r="F145" s="1" t="s">
        <v>8</v>
      </c>
      <c r="G145" s="1">
        <v>3890</v>
      </c>
    </row>
    <row r="146" spans="1:7" x14ac:dyDescent="0.25">
      <c r="A146" s="1" t="s">
        <v>82</v>
      </c>
      <c r="B146" s="1" t="s">
        <v>30</v>
      </c>
      <c r="C146" s="1" t="s">
        <v>83</v>
      </c>
      <c r="D146" s="1" t="s">
        <v>84</v>
      </c>
      <c r="E146" s="1" t="s">
        <v>85</v>
      </c>
      <c r="F146" s="1" t="s">
        <v>8</v>
      </c>
      <c r="G146" s="1">
        <v>480</v>
      </c>
    </row>
    <row r="147" spans="1:7" x14ac:dyDescent="0.25">
      <c r="A147" s="1" t="s">
        <v>59</v>
      </c>
      <c r="B147" s="1" t="s">
        <v>10</v>
      </c>
      <c r="C147" s="1" t="s">
        <v>60</v>
      </c>
      <c r="D147" s="1" t="s">
        <v>61</v>
      </c>
      <c r="E147" s="1" t="s">
        <v>62</v>
      </c>
      <c r="F147" s="1" t="s">
        <v>8</v>
      </c>
      <c r="G147" s="1">
        <v>4084.9</v>
      </c>
    </row>
    <row r="148" spans="1:7" x14ac:dyDescent="0.25">
      <c r="A148" s="1" t="s">
        <v>25</v>
      </c>
      <c r="B148" s="1" t="s">
        <v>10</v>
      </c>
      <c r="C148" s="1" t="s">
        <v>26</v>
      </c>
      <c r="D148" s="1" t="s">
        <v>27</v>
      </c>
      <c r="E148" s="1" t="s">
        <v>28</v>
      </c>
      <c r="F148" s="1" t="s">
        <v>8</v>
      </c>
      <c r="G148" s="1">
        <v>390</v>
      </c>
    </row>
    <row r="149" spans="1:7" x14ac:dyDescent="0.25">
      <c r="A149" s="1" t="s">
        <v>66</v>
      </c>
      <c r="B149" s="1" t="s">
        <v>30</v>
      </c>
      <c r="C149" s="1" t="s">
        <v>67</v>
      </c>
      <c r="D149" s="1" t="s">
        <v>42</v>
      </c>
      <c r="E149" s="1" t="s">
        <v>68</v>
      </c>
      <c r="F149" s="1" t="s">
        <v>8</v>
      </c>
      <c r="G149" s="1">
        <v>21330</v>
      </c>
    </row>
    <row r="150" spans="1:7" x14ac:dyDescent="0.25">
      <c r="A150" s="1" t="s">
        <v>52</v>
      </c>
      <c r="B150" s="1" t="s">
        <v>10</v>
      </c>
      <c r="C150" s="1" t="s">
        <v>53</v>
      </c>
      <c r="D150" s="1" t="s">
        <v>54</v>
      </c>
      <c r="E150" s="1" t="s">
        <v>55</v>
      </c>
      <c r="F150" s="1" t="s">
        <v>8</v>
      </c>
      <c r="G150" s="1">
        <v>1300</v>
      </c>
    </row>
    <row r="151" spans="1:7" x14ac:dyDescent="0.25">
      <c r="A151" s="1" t="s">
        <v>36</v>
      </c>
      <c r="B151" s="1" t="s">
        <v>30</v>
      </c>
      <c r="C151" s="1" t="s">
        <v>37</v>
      </c>
      <c r="D151" s="1" t="s">
        <v>38</v>
      </c>
      <c r="E151" s="1" t="s">
        <v>39</v>
      </c>
      <c r="F151" s="1" t="s">
        <v>8</v>
      </c>
      <c r="G151" s="1">
        <v>128.33000000000001</v>
      </c>
    </row>
    <row r="152" spans="1:7" x14ac:dyDescent="0.25">
      <c r="A152" s="1" t="s">
        <v>34</v>
      </c>
      <c r="B152" s="1" t="s">
        <v>30</v>
      </c>
      <c r="C152" s="1" t="s">
        <v>23</v>
      </c>
      <c r="D152" s="1" t="s">
        <v>24</v>
      </c>
      <c r="E152" s="1" t="s">
        <v>35</v>
      </c>
      <c r="F152" s="1" t="s">
        <v>8</v>
      </c>
      <c r="G152" s="1">
        <v>2046.88</v>
      </c>
    </row>
    <row r="153" spans="1:7" x14ac:dyDescent="0.25">
      <c r="A153" s="1" t="s">
        <v>29</v>
      </c>
      <c r="B153" s="1" t="s">
        <v>30</v>
      </c>
      <c r="C153" s="1" t="s">
        <v>31</v>
      </c>
      <c r="D153" s="1" t="s">
        <v>32</v>
      </c>
      <c r="E153" s="1" t="s">
        <v>33</v>
      </c>
      <c r="F153" s="1" t="s">
        <v>8</v>
      </c>
      <c r="G153" s="1">
        <v>2250</v>
      </c>
    </row>
    <row r="154" spans="1:7" x14ac:dyDescent="0.25">
      <c r="A154" s="1" t="s">
        <v>20</v>
      </c>
      <c r="B154" s="1" t="s">
        <v>10</v>
      </c>
      <c r="C154" s="1" t="s">
        <v>11</v>
      </c>
      <c r="D154" s="1" t="s">
        <v>21</v>
      </c>
      <c r="E154" s="1" t="s">
        <v>22</v>
      </c>
      <c r="F154" s="1" t="s">
        <v>8</v>
      </c>
      <c r="G154" s="1">
        <v>1332</v>
      </c>
    </row>
    <row r="155" spans="1:7" x14ac:dyDescent="0.25">
      <c r="A155" s="1" t="s">
        <v>17</v>
      </c>
      <c r="B155" s="1" t="s">
        <v>10</v>
      </c>
      <c r="C155" s="1" t="s">
        <v>11</v>
      </c>
      <c r="D155" s="1" t="s">
        <v>18</v>
      </c>
      <c r="E155" s="1" t="s">
        <v>19</v>
      </c>
      <c r="F155" s="1" t="s">
        <v>8</v>
      </c>
      <c r="G155" s="1">
        <v>1000</v>
      </c>
    </row>
    <row r="156" spans="1:7" x14ac:dyDescent="0.25">
      <c r="A156" s="1" t="s">
        <v>14</v>
      </c>
      <c r="B156" s="1" t="s">
        <v>10</v>
      </c>
      <c r="C156" s="1" t="s">
        <v>11</v>
      </c>
      <c r="D156" s="1" t="s">
        <v>15</v>
      </c>
      <c r="E156" s="1" t="s">
        <v>16</v>
      </c>
      <c r="F156" s="1" t="s">
        <v>8</v>
      </c>
      <c r="G156" s="1">
        <v>21362</v>
      </c>
    </row>
    <row r="157" spans="1:7" x14ac:dyDescent="0.25">
      <c r="A157" s="1" t="s">
        <v>9</v>
      </c>
      <c r="B157" s="1" t="s">
        <v>10</v>
      </c>
      <c r="C157" s="1" t="s">
        <v>11</v>
      </c>
      <c r="D157" s="1" t="s">
        <v>12</v>
      </c>
      <c r="E157" s="1" t="s">
        <v>13</v>
      </c>
      <c r="F157" s="1" t="s">
        <v>8</v>
      </c>
      <c r="G157" s="1">
        <v>50050.66</v>
      </c>
    </row>
  </sheetData>
  <sortState ref="A2:G157">
    <sortCondition ref="A2:A157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53"/>
  <sheetViews>
    <sheetView showOutlineSymbols="0" showWhiteSpace="0" workbookViewId="0"/>
  </sheetViews>
  <sheetFormatPr defaultRowHeight="13.8" x14ac:dyDescent="0.25"/>
  <cols>
    <col min="1" max="1" width="18" style="1" customWidth="1"/>
    <col min="2" max="2" width="52.33203125" style="1" customWidth="1"/>
    <col min="3" max="3" width="91.33203125" style="1" customWidth="1"/>
    <col min="4" max="4" width="73" style="1" customWidth="1"/>
    <col min="5" max="5" width="47.44140625" style="1" customWidth="1"/>
    <col min="6" max="6" width="34" style="1" customWidth="1"/>
    <col min="7" max="7" width="19.33203125" style="1" customWidth="1"/>
    <col min="8" max="16384" width="8.88671875" style="1"/>
  </cols>
  <sheetData>
    <row r="1" spans="1:7" x14ac:dyDescent="0.25">
      <c r="A1" s="1" t="s">
        <v>0</v>
      </c>
      <c r="B1" s="1" t="s">
        <v>2</v>
      </c>
      <c r="C1" s="1" t="s">
        <v>542</v>
      </c>
      <c r="D1" s="1" t="s">
        <v>543</v>
      </c>
      <c r="E1" s="1" t="s">
        <v>544</v>
      </c>
      <c r="F1" s="1" t="s">
        <v>545</v>
      </c>
      <c r="G1" s="1" t="s">
        <v>546</v>
      </c>
    </row>
    <row r="2" spans="1:7" x14ac:dyDescent="0.25">
      <c r="A2" s="1" t="s">
        <v>540</v>
      </c>
      <c r="B2" s="1" t="s">
        <v>173</v>
      </c>
      <c r="C2" s="1" t="s">
        <v>519</v>
      </c>
      <c r="D2" s="1" t="s">
        <v>607</v>
      </c>
      <c r="E2" s="1" t="s">
        <v>555</v>
      </c>
      <c r="F2" s="1" t="s">
        <v>556</v>
      </c>
      <c r="G2" s="1">
        <v>2800</v>
      </c>
    </row>
    <row r="3" spans="1:7" x14ac:dyDescent="0.25">
      <c r="A3" s="1" t="s">
        <v>538</v>
      </c>
      <c r="B3" s="1" t="s">
        <v>535</v>
      </c>
      <c r="C3" s="1" t="s">
        <v>536</v>
      </c>
      <c r="D3" s="1" t="s">
        <v>587</v>
      </c>
      <c r="E3" s="1" t="s">
        <v>560</v>
      </c>
      <c r="F3" s="1" t="s">
        <v>561</v>
      </c>
      <c r="G3" s="1">
        <v>144</v>
      </c>
    </row>
    <row r="4" spans="1:7" x14ac:dyDescent="0.25">
      <c r="A4" s="1" t="s">
        <v>533</v>
      </c>
      <c r="B4" s="1" t="s">
        <v>53</v>
      </c>
      <c r="C4" s="1" t="s">
        <v>53</v>
      </c>
      <c r="D4" s="1" t="s">
        <v>614</v>
      </c>
      <c r="E4" s="1" t="s">
        <v>579</v>
      </c>
      <c r="F4" s="1" t="s">
        <v>580</v>
      </c>
      <c r="G4" s="1">
        <v>349.93</v>
      </c>
    </row>
    <row r="5" spans="1:7" x14ac:dyDescent="0.25">
      <c r="A5" s="1" t="s">
        <v>533</v>
      </c>
      <c r="B5" s="1" t="s">
        <v>53</v>
      </c>
      <c r="C5" s="1" t="s">
        <v>53</v>
      </c>
      <c r="D5" s="1" t="s">
        <v>614</v>
      </c>
      <c r="E5" s="1" t="s">
        <v>579</v>
      </c>
      <c r="F5" s="1" t="s">
        <v>580</v>
      </c>
      <c r="G5" s="1">
        <v>719.92</v>
      </c>
    </row>
    <row r="6" spans="1:7" x14ac:dyDescent="0.25">
      <c r="A6" s="1" t="s">
        <v>533</v>
      </c>
      <c r="B6" s="1" t="s">
        <v>53</v>
      </c>
      <c r="C6" s="1" t="s">
        <v>53</v>
      </c>
      <c r="D6" s="1" t="s">
        <v>615</v>
      </c>
      <c r="E6" s="1" t="s">
        <v>579</v>
      </c>
      <c r="F6" s="1" t="s">
        <v>580</v>
      </c>
      <c r="G6" s="1">
        <v>382.11</v>
      </c>
    </row>
    <row r="7" spans="1:7" x14ac:dyDescent="0.25">
      <c r="A7" s="1" t="s">
        <v>529</v>
      </c>
      <c r="B7" s="1" t="s">
        <v>320</v>
      </c>
      <c r="C7" s="1" t="s">
        <v>530</v>
      </c>
      <c r="D7" s="1" t="s">
        <v>528</v>
      </c>
      <c r="E7" s="1" t="s">
        <v>549</v>
      </c>
      <c r="F7" s="1" t="s">
        <v>550</v>
      </c>
      <c r="G7" s="1">
        <v>114</v>
      </c>
    </row>
    <row r="8" spans="1:7" x14ac:dyDescent="0.25">
      <c r="A8" s="1" t="s">
        <v>524</v>
      </c>
      <c r="B8" s="1" t="s">
        <v>93</v>
      </c>
      <c r="C8" s="1" t="s">
        <v>94</v>
      </c>
      <c r="D8" s="1" t="s">
        <v>603</v>
      </c>
      <c r="E8" s="1" t="s">
        <v>549</v>
      </c>
      <c r="F8" s="1" t="s">
        <v>550</v>
      </c>
      <c r="G8" s="1">
        <v>1857</v>
      </c>
    </row>
    <row r="9" spans="1:7" x14ac:dyDescent="0.25">
      <c r="A9" s="1" t="s">
        <v>524</v>
      </c>
      <c r="B9" s="1" t="s">
        <v>93</v>
      </c>
      <c r="C9" s="1" t="s">
        <v>94</v>
      </c>
      <c r="D9" s="1" t="s">
        <v>604</v>
      </c>
      <c r="E9" s="1" t="s">
        <v>549</v>
      </c>
      <c r="F9" s="1" t="s">
        <v>550</v>
      </c>
      <c r="G9" s="1">
        <v>184</v>
      </c>
    </row>
    <row r="10" spans="1:7" x14ac:dyDescent="0.25">
      <c r="A10" s="1" t="s">
        <v>520</v>
      </c>
      <c r="B10" s="1" t="s">
        <v>521</v>
      </c>
      <c r="C10" s="1" t="s">
        <v>522</v>
      </c>
      <c r="G10" s="1">
        <v>0</v>
      </c>
    </row>
    <row r="11" spans="1:7" x14ac:dyDescent="0.25">
      <c r="A11" s="1" t="s">
        <v>44</v>
      </c>
      <c r="B11" s="1" t="s">
        <v>45</v>
      </c>
      <c r="C11" s="1" t="s">
        <v>46</v>
      </c>
      <c r="D11" s="1" t="s">
        <v>609</v>
      </c>
      <c r="E11" s="1" t="s">
        <v>549</v>
      </c>
      <c r="F11" s="1" t="s">
        <v>550</v>
      </c>
      <c r="G11" s="1">
        <v>168</v>
      </c>
    </row>
    <row r="12" spans="1:7" x14ac:dyDescent="0.25">
      <c r="A12" s="1" t="s">
        <v>44</v>
      </c>
      <c r="B12" s="1" t="s">
        <v>45</v>
      </c>
      <c r="C12" s="1" t="s">
        <v>46</v>
      </c>
      <c r="D12" s="1" t="s">
        <v>551</v>
      </c>
      <c r="E12" s="1" t="s">
        <v>551</v>
      </c>
      <c r="F12" s="1" t="s">
        <v>552</v>
      </c>
      <c r="G12" s="1">
        <v>300</v>
      </c>
    </row>
    <row r="13" spans="1:7" x14ac:dyDescent="0.25">
      <c r="A13" s="1" t="s">
        <v>478</v>
      </c>
      <c r="B13" s="1" t="s">
        <v>479</v>
      </c>
      <c r="C13" s="1" t="s">
        <v>480</v>
      </c>
      <c r="D13" s="1" t="s">
        <v>592</v>
      </c>
      <c r="E13" s="1" t="s">
        <v>560</v>
      </c>
      <c r="F13" s="1" t="s">
        <v>561</v>
      </c>
      <c r="G13" s="1">
        <v>230.1</v>
      </c>
    </row>
    <row r="14" spans="1:7" x14ac:dyDescent="0.25">
      <c r="A14" s="1" t="s">
        <v>497</v>
      </c>
      <c r="B14" s="1" t="s">
        <v>498</v>
      </c>
      <c r="C14" s="1" t="s">
        <v>499</v>
      </c>
      <c r="D14" s="1" t="s">
        <v>633</v>
      </c>
      <c r="E14" s="1" t="s">
        <v>549</v>
      </c>
      <c r="F14" s="1" t="s">
        <v>550</v>
      </c>
      <c r="G14" s="1">
        <v>438</v>
      </c>
    </row>
    <row r="15" spans="1:7" x14ac:dyDescent="0.25">
      <c r="A15" s="1" t="s">
        <v>514</v>
      </c>
      <c r="B15" s="1" t="s">
        <v>515</v>
      </c>
      <c r="C15" s="1" t="s">
        <v>516</v>
      </c>
      <c r="D15" s="1" t="s">
        <v>537</v>
      </c>
      <c r="E15" s="1" t="s">
        <v>553</v>
      </c>
      <c r="F15" s="1" t="s">
        <v>554</v>
      </c>
      <c r="G15" s="1">
        <v>4800</v>
      </c>
    </row>
    <row r="16" spans="1:7" x14ac:dyDescent="0.25">
      <c r="A16" s="1" t="s">
        <v>488</v>
      </c>
      <c r="B16" s="1" t="s">
        <v>485</v>
      </c>
      <c r="C16" s="1" t="s">
        <v>42</v>
      </c>
      <c r="D16" s="1" t="s">
        <v>711</v>
      </c>
      <c r="E16" s="1" t="s">
        <v>555</v>
      </c>
      <c r="F16" s="1" t="s">
        <v>556</v>
      </c>
      <c r="G16" s="1">
        <v>26435</v>
      </c>
    </row>
    <row r="17" spans="1:7" x14ac:dyDescent="0.25">
      <c r="A17" s="1" t="s">
        <v>488</v>
      </c>
      <c r="B17" s="1" t="s">
        <v>485</v>
      </c>
      <c r="C17" s="1" t="s">
        <v>42</v>
      </c>
      <c r="D17" s="1" t="s">
        <v>711</v>
      </c>
      <c r="E17" s="1" t="s">
        <v>555</v>
      </c>
      <c r="F17" s="1" t="s">
        <v>556</v>
      </c>
      <c r="G17" s="1">
        <v>9426.3799999999992</v>
      </c>
    </row>
    <row r="18" spans="1:7" x14ac:dyDescent="0.25">
      <c r="A18" s="1" t="s">
        <v>488</v>
      </c>
      <c r="B18" s="1" t="s">
        <v>485</v>
      </c>
      <c r="C18" s="1" t="s">
        <v>42</v>
      </c>
      <c r="D18" s="1" t="s">
        <v>711</v>
      </c>
      <c r="E18" s="1" t="s">
        <v>555</v>
      </c>
      <c r="F18" s="1" t="s">
        <v>556</v>
      </c>
      <c r="G18" s="1">
        <v>12518</v>
      </c>
    </row>
    <row r="19" spans="1:7" x14ac:dyDescent="0.25">
      <c r="A19" s="1" t="s">
        <v>488</v>
      </c>
      <c r="B19" s="1" t="s">
        <v>485</v>
      </c>
      <c r="C19" s="1" t="s">
        <v>42</v>
      </c>
      <c r="D19" s="1" t="s">
        <v>711</v>
      </c>
      <c r="E19" s="1" t="s">
        <v>555</v>
      </c>
      <c r="F19" s="1" t="s">
        <v>556</v>
      </c>
      <c r="G19" s="1">
        <v>1956</v>
      </c>
    </row>
    <row r="20" spans="1:7" x14ac:dyDescent="0.25">
      <c r="A20" s="1" t="s">
        <v>488</v>
      </c>
      <c r="B20" s="1" t="s">
        <v>485</v>
      </c>
      <c r="C20" s="1" t="s">
        <v>42</v>
      </c>
      <c r="D20" s="1" t="s">
        <v>711</v>
      </c>
      <c r="E20" s="1" t="s">
        <v>555</v>
      </c>
      <c r="F20" s="1" t="s">
        <v>556</v>
      </c>
      <c r="G20" s="1">
        <v>1747</v>
      </c>
    </row>
    <row r="21" spans="1:7" x14ac:dyDescent="0.25">
      <c r="A21" s="1" t="s">
        <v>488</v>
      </c>
      <c r="B21" s="1" t="s">
        <v>485</v>
      </c>
      <c r="C21" s="1" t="s">
        <v>42</v>
      </c>
      <c r="D21" s="1" t="s">
        <v>711</v>
      </c>
      <c r="E21" s="1" t="s">
        <v>555</v>
      </c>
      <c r="F21" s="1" t="s">
        <v>556</v>
      </c>
      <c r="G21" s="1">
        <v>2000</v>
      </c>
    </row>
    <row r="22" spans="1:7" x14ac:dyDescent="0.25">
      <c r="A22" s="1" t="s">
        <v>488</v>
      </c>
      <c r="B22" s="1" t="s">
        <v>485</v>
      </c>
      <c r="C22" s="1" t="s">
        <v>42</v>
      </c>
      <c r="D22" s="1" t="s">
        <v>565</v>
      </c>
      <c r="E22" s="1" t="s">
        <v>565</v>
      </c>
      <c r="F22" s="1" t="s">
        <v>566</v>
      </c>
      <c r="G22" s="1">
        <v>1739</v>
      </c>
    </row>
    <row r="23" spans="1:7" x14ac:dyDescent="0.25">
      <c r="A23" s="1" t="s">
        <v>488</v>
      </c>
      <c r="B23" s="1" t="s">
        <v>485</v>
      </c>
      <c r="C23" s="1" t="s">
        <v>42</v>
      </c>
      <c r="D23" s="1" t="s">
        <v>565</v>
      </c>
      <c r="E23" s="1" t="s">
        <v>565</v>
      </c>
      <c r="F23" s="1" t="s">
        <v>566</v>
      </c>
      <c r="G23" s="1">
        <v>2087</v>
      </c>
    </row>
    <row r="24" spans="1:7" x14ac:dyDescent="0.25">
      <c r="A24" s="1" t="s">
        <v>488</v>
      </c>
      <c r="B24" s="1" t="s">
        <v>485</v>
      </c>
      <c r="C24" s="1" t="s">
        <v>42</v>
      </c>
      <c r="D24" s="1" t="s">
        <v>565</v>
      </c>
      <c r="E24" s="1" t="s">
        <v>565</v>
      </c>
      <c r="F24" s="1" t="s">
        <v>566</v>
      </c>
      <c r="G24" s="1">
        <v>315</v>
      </c>
    </row>
    <row r="25" spans="1:7" x14ac:dyDescent="0.25">
      <c r="A25" s="1" t="s">
        <v>488</v>
      </c>
      <c r="B25" s="1" t="s">
        <v>485</v>
      </c>
      <c r="C25" s="1" t="s">
        <v>42</v>
      </c>
      <c r="D25" s="1" t="s">
        <v>565</v>
      </c>
      <c r="E25" s="1" t="s">
        <v>565</v>
      </c>
      <c r="F25" s="1" t="s">
        <v>566</v>
      </c>
      <c r="G25" s="1">
        <v>1225</v>
      </c>
    </row>
    <row r="26" spans="1:7" x14ac:dyDescent="0.25">
      <c r="A26" s="1" t="s">
        <v>488</v>
      </c>
      <c r="B26" s="1" t="s">
        <v>485</v>
      </c>
      <c r="C26" s="1" t="s">
        <v>42</v>
      </c>
      <c r="D26" s="1" t="s">
        <v>565</v>
      </c>
      <c r="E26" s="1" t="s">
        <v>565</v>
      </c>
      <c r="F26" s="1" t="s">
        <v>618</v>
      </c>
      <c r="G26" s="1">
        <v>360</v>
      </c>
    </row>
    <row r="27" spans="1:7" x14ac:dyDescent="0.25">
      <c r="A27" s="1" t="s">
        <v>488</v>
      </c>
      <c r="B27" s="1" t="s">
        <v>485</v>
      </c>
      <c r="C27" s="1" t="s">
        <v>42</v>
      </c>
      <c r="D27" s="1" t="s">
        <v>565</v>
      </c>
      <c r="E27" s="1" t="s">
        <v>565</v>
      </c>
      <c r="F27" s="1" t="s">
        <v>618</v>
      </c>
      <c r="G27" s="1">
        <v>540</v>
      </c>
    </row>
    <row r="28" spans="1:7" x14ac:dyDescent="0.25">
      <c r="A28" s="1" t="s">
        <v>488</v>
      </c>
      <c r="B28" s="1" t="s">
        <v>485</v>
      </c>
      <c r="C28" s="1" t="s">
        <v>42</v>
      </c>
      <c r="D28" s="1" t="s">
        <v>558</v>
      </c>
      <c r="E28" s="1" t="s">
        <v>558</v>
      </c>
      <c r="F28" s="1" t="s">
        <v>559</v>
      </c>
      <c r="G28" s="1">
        <v>188</v>
      </c>
    </row>
    <row r="29" spans="1:7" x14ac:dyDescent="0.25">
      <c r="A29" s="1" t="s">
        <v>488</v>
      </c>
      <c r="B29" s="1" t="s">
        <v>485</v>
      </c>
      <c r="C29" s="1" t="s">
        <v>42</v>
      </c>
      <c r="D29" s="1" t="s">
        <v>558</v>
      </c>
      <c r="E29" s="1" t="s">
        <v>558</v>
      </c>
      <c r="F29" s="1" t="s">
        <v>559</v>
      </c>
      <c r="G29" s="1">
        <v>280</v>
      </c>
    </row>
    <row r="30" spans="1:7" x14ac:dyDescent="0.25">
      <c r="A30" s="1" t="s">
        <v>488</v>
      </c>
      <c r="B30" s="1" t="s">
        <v>485</v>
      </c>
      <c r="C30" s="1" t="s">
        <v>42</v>
      </c>
      <c r="D30" s="1" t="s">
        <v>558</v>
      </c>
      <c r="E30" s="1" t="s">
        <v>558</v>
      </c>
      <c r="F30" s="1" t="s">
        <v>559</v>
      </c>
      <c r="G30" s="1">
        <v>570</v>
      </c>
    </row>
    <row r="31" spans="1:7" x14ac:dyDescent="0.25">
      <c r="A31" s="1" t="s">
        <v>488</v>
      </c>
      <c r="B31" s="1" t="s">
        <v>485</v>
      </c>
      <c r="C31" s="1" t="s">
        <v>42</v>
      </c>
      <c r="D31" s="1" t="s">
        <v>558</v>
      </c>
      <c r="E31" s="1" t="s">
        <v>558</v>
      </c>
      <c r="F31" s="1" t="s">
        <v>559</v>
      </c>
      <c r="G31" s="1">
        <v>20</v>
      </c>
    </row>
    <row r="32" spans="1:7" x14ac:dyDescent="0.25">
      <c r="A32" s="1" t="s">
        <v>488</v>
      </c>
      <c r="B32" s="1" t="s">
        <v>485</v>
      </c>
      <c r="C32" s="1" t="s">
        <v>42</v>
      </c>
      <c r="D32" s="1" t="s">
        <v>558</v>
      </c>
      <c r="E32" s="1" t="s">
        <v>558</v>
      </c>
      <c r="F32" s="1" t="s">
        <v>559</v>
      </c>
      <c r="G32" s="1">
        <v>20</v>
      </c>
    </row>
    <row r="33" spans="1:7" x14ac:dyDescent="0.25">
      <c r="A33" s="1" t="s">
        <v>488</v>
      </c>
      <c r="B33" s="1" t="s">
        <v>485</v>
      </c>
      <c r="C33" s="1" t="s">
        <v>42</v>
      </c>
      <c r="D33" s="1" t="s">
        <v>558</v>
      </c>
      <c r="E33" s="1" t="s">
        <v>558</v>
      </c>
      <c r="F33" s="1" t="s">
        <v>559</v>
      </c>
      <c r="G33" s="1">
        <v>22.5</v>
      </c>
    </row>
    <row r="34" spans="1:7" x14ac:dyDescent="0.25">
      <c r="A34" s="1" t="s">
        <v>488</v>
      </c>
      <c r="B34" s="1" t="s">
        <v>485</v>
      </c>
      <c r="C34" s="1" t="s">
        <v>42</v>
      </c>
      <c r="D34" s="1" t="s">
        <v>558</v>
      </c>
      <c r="E34" s="1" t="s">
        <v>558</v>
      </c>
      <c r="F34" s="1" t="s">
        <v>559</v>
      </c>
      <c r="G34" s="1">
        <v>380</v>
      </c>
    </row>
    <row r="35" spans="1:7" x14ac:dyDescent="0.25">
      <c r="A35" s="1" t="s">
        <v>488</v>
      </c>
      <c r="B35" s="1" t="s">
        <v>485</v>
      </c>
      <c r="C35" s="1" t="s">
        <v>42</v>
      </c>
      <c r="D35" s="1" t="s">
        <v>558</v>
      </c>
      <c r="E35" s="1" t="s">
        <v>558</v>
      </c>
      <c r="F35" s="1" t="s">
        <v>559</v>
      </c>
      <c r="G35" s="1">
        <v>380</v>
      </c>
    </row>
    <row r="36" spans="1:7" x14ac:dyDescent="0.25">
      <c r="A36" s="1" t="s">
        <v>488</v>
      </c>
      <c r="B36" s="1" t="s">
        <v>485</v>
      </c>
      <c r="C36" s="1" t="s">
        <v>42</v>
      </c>
      <c r="D36" s="1" t="s">
        <v>558</v>
      </c>
      <c r="E36" s="1" t="s">
        <v>558</v>
      </c>
      <c r="F36" s="1" t="s">
        <v>559</v>
      </c>
      <c r="G36" s="1">
        <v>280</v>
      </c>
    </row>
    <row r="37" spans="1:7" x14ac:dyDescent="0.25">
      <c r="A37" s="1" t="s">
        <v>488</v>
      </c>
      <c r="B37" s="1" t="s">
        <v>485</v>
      </c>
      <c r="C37" s="1" t="s">
        <v>42</v>
      </c>
      <c r="D37" s="1" t="s">
        <v>558</v>
      </c>
      <c r="E37" s="1" t="s">
        <v>558</v>
      </c>
      <c r="F37" s="1" t="s">
        <v>559</v>
      </c>
      <c r="G37" s="1">
        <v>141</v>
      </c>
    </row>
    <row r="38" spans="1:7" x14ac:dyDescent="0.25">
      <c r="A38" s="1" t="s">
        <v>488</v>
      </c>
      <c r="B38" s="1" t="s">
        <v>485</v>
      </c>
      <c r="C38" s="1" t="s">
        <v>42</v>
      </c>
      <c r="D38" s="1" t="s">
        <v>558</v>
      </c>
      <c r="E38" s="1" t="s">
        <v>558</v>
      </c>
      <c r="F38" s="1" t="s">
        <v>559</v>
      </c>
      <c r="G38" s="1">
        <v>50</v>
      </c>
    </row>
    <row r="39" spans="1:7" x14ac:dyDescent="0.25">
      <c r="A39" s="1" t="s">
        <v>488</v>
      </c>
      <c r="B39" s="1" t="s">
        <v>485</v>
      </c>
      <c r="C39" s="1" t="s">
        <v>42</v>
      </c>
      <c r="D39" s="1" t="s">
        <v>567</v>
      </c>
      <c r="E39" s="1" t="s">
        <v>567</v>
      </c>
      <c r="F39" s="1" t="s">
        <v>568</v>
      </c>
      <c r="G39" s="1">
        <v>79.989999999999995</v>
      </c>
    </row>
    <row r="40" spans="1:7" x14ac:dyDescent="0.25">
      <c r="A40" s="1" t="s">
        <v>488</v>
      </c>
      <c r="B40" s="1" t="s">
        <v>485</v>
      </c>
      <c r="C40" s="1" t="s">
        <v>42</v>
      </c>
      <c r="D40" s="1" t="s">
        <v>567</v>
      </c>
      <c r="E40" s="1" t="s">
        <v>567</v>
      </c>
      <c r="F40" s="1" t="s">
        <v>568</v>
      </c>
      <c r="G40" s="1">
        <v>23.78</v>
      </c>
    </row>
    <row r="41" spans="1:7" x14ac:dyDescent="0.25">
      <c r="A41" s="1" t="s">
        <v>488</v>
      </c>
      <c r="B41" s="1" t="s">
        <v>485</v>
      </c>
      <c r="C41" s="1" t="s">
        <v>42</v>
      </c>
      <c r="D41" s="1" t="s">
        <v>567</v>
      </c>
      <c r="E41" s="1" t="s">
        <v>567</v>
      </c>
      <c r="F41" s="1" t="s">
        <v>568</v>
      </c>
      <c r="G41" s="1">
        <v>15.93</v>
      </c>
    </row>
    <row r="42" spans="1:7" x14ac:dyDescent="0.25">
      <c r="A42" s="1" t="s">
        <v>488</v>
      </c>
      <c r="B42" s="1" t="s">
        <v>485</v>
      </c>
      <c r="C42" s="1" t="s">
        <v>42</v>
      </c>
      <c r="D42" s="1" t="s">
        <v>567</v>
      </c>
      <c r="E42" s="1" t="s">
        <v>567</v>
      </c>
      <c r="F42" s="1" t="s">
        <v>568</v>
      </c>
      <c r="G42" s="1">
        <v>3.3</v>
      </c>
    </row>
    <row r="43" spans="1:7" x14ac:dyDescent="0.25">
      <c r="A43" s="1" t="s">
        <v>488</v>
      </c>
      <c r="B43" s="1" t="s">
        <v>485</v>
      </c>
      <c r="C43" s="1" t="s">
        <v>42</v>
      </c>
      <c r="D43" s="1" t="s">
        <v>567</v>
      </c>
      <c r="E43" s="1" t="s">
        <v>567</v>
      </c>
      <c r="F43" s="1" t="s">
        <v>568</v>
      </c>
      <c r="G43" s="1">
        <v>8.98</v>
      </c>
    </row>
    <row r="44" spans="1:7" x14ac:dyDescent="0.25">
      <c r="A44" s="1" t="s">
        <v>488</v>
      </c>
      <c r="B44" s="1" t="s">
        <v>485</v>
      </c>
      <c r="C44" s="1" t="s">
        <v>42</v>
      </c>
      <c r="D44" s="1" t="s">
        <v>590</v>
      </c>
      <c r="E44" s="1" t="s">
        <v>590</v>
      </c>
      <c r="F44" s="1" t="s">
        <v>591</v>
      </c>
      <c r="G44" s="1">
        <v>115.28</v>
      </c>
    </row>
    <row r="45" spans="1:7" x14ac:dyDescent="0.25">
      <c r="A45" s="1" t="s">
        <v>488</v>
      </c>
      <c r="B45" s="1" t="s">
        <v>485</v>
      </c>
      <c r="C45" s="1" t="s">
        <v>42</v>
      </c>
      <c r="D45" s="1" t="s">
        <v>590</v>
      </c>
      <c r="E45" s="1" t="s">
        <v>590</v>
      </c>
      <c r="F45" s="1" t="s">
        <v>591</v>
      </c>
      <c r="G45" s="1">
        <v>14</v>
      </c>
    </row>
    <row r="46" spans="1:7" x14ac:dyDescent="0.25">
      <c r="A46" s="1" t="s">
        <v>488</v>
      </c>
      <c r="B46" s="1" t="s">
        <v>485</v>
      </c>
      <c r="C46" s="1" t="s">
        <v>42</v>
      </c>
      <c r="D46" s="1" t="s">
        <v>590</v>
      </c>
      <c r="E46" s="1" t="s">
        <v>590</v>
      </c>
      <c r="F46" s="1" t="s">
        <v>591</v>
      </c>
      <c r="G46" s="1">
        <v>104.72</v>
      </c>
    </row>
    <row r="47" spans="1:7" x14ac:dyDescent="0.25">
      <c r="A47" s="1" t="s">
        <v>510</v>
      </c>
      <c r="B47" s="1" t="s">
        <v>511</v>
      </c>
      <c r="C47" s="1" t="s">
        <v>512</v>
      </c>
      <c r="D47" s="1" t="s">
        <v>659</v>
      </c>
      <c r="E47" s="1" t="s">
        <v>571</v>
      </c>
      <c r="F47" s="1" t="s">
        <v>572</v>
      </c>
      <c r="G47" s="1">
        <v>2560</v>
      </c>
    </row>
    <row r="48" spans="1:7" x14ac:dyDescent="0.25">
      <c r="A48" s="1" t="s">
        <v>484</v>
      </c>
      <c r="B48" s="1" t="s">
        <v>485</v>
      </c>
      <c r="C48" s="1" t="s">
        <v>486</v>
      </c>
      <c r="G48" s="1">
        <v>0</v>
      </c>
    </row>
    <row r="49" spans="1:7" x14ac:dyDescent="0.25">
      <c r="A49" s="1" t="s">
        <v>507</v>
      </c>
      <c r="B49" s="1" t="s">
        <v>173</v>
      </c>
      <c r="C49" s="1" t="s">
        <v>508</v>
      </c>
      <c r="D49" s="1" t="s">
        <v>575</v>
      </c>
      <c r="E49" s="1" t="s">
        <v>560</v>
      </c>
      <c r="F49" s="1" t="s">
        <v>561</v>
      </c>
      <c r="G49" s="1">
        <v>23.59</v>
      </c>
    </row>
    <row r="50" spans="1:7" x14ac:dyDescent="0.25">
      <c r="A50" s="1" t="s">
        <v>507</v>
      </c>
      <c r="B50" s="1" t="s">
        <v>173</v>
      </c>
      <c r="C50" s="1" t="s">
        <v>508</v>
      </c>
      <c r="D50" s="1" t="s">
        <v>623</v>
      </c>
      <c r="E50" s="1" t="s">
        <v>555</v>
      </c>
      <c r="F50" s="1" t="s">
        <v>556</v>
      </c>
      <c r="G50" s="1">
        <v>191</v>
      </c>
    </row>
    <row r="51" spans="1:7" x14ac:dyDescent="0.25">
      <c r="A51" s="1" t="s">
        <v>507</v>
      </c>
      <c r="B51" s="1" t="s">
        <v>173</v>
      </c>
      <c r="C51" s="1" t="s">
        <v>508</v>
      </c>
      <c r="D51" s="1" t="s">
        <v>693</v>
      </c>
      <c r="E51" s="1" t="s">
        <v>549</v>
      </c>
      <c r="F51" s="1" t="s">
        <v>550</v>
      </c>
      <c r="G51" s="1">
        <v>106.5</v>
      </c>
    </row>
    <row r="52" spans="1:7" x14ac:dyDescent="0.25">
      <c r="A52" s="1" t="s">
        <v>507</v>
      </c>
      <c r="B52" s="1" t="s">
        <v>173</v>
      </c>
      <c r="C52" s="1" t="s">
        <v>508</v>
      </c>
      <c r="D52" s="1" t="s">
        <v>694</v>
      </c>
      <c r="E52" s="1" t="s">
        <v>555</v>
      </c>
      <c r="F52" s="1" t="s">
        <v>556</v>
      </c>
      <c r="G52" s="1">
        <v>220</v>
      </c>
    </row>
    <row r="53" spans="1:7" x14ac:dyDescent="0.25">
      <c r="A53" s="1" t="s">
        <v>493</v>
      </c>
      <c r="B53" s="1" t="s">
        <v>494</v>
      </c>
      <c r="C53" s="1" t="s">
        <v>495</v>
      </c>
      <c r="D53" s="1" t="s">
        <v>549</v>
      </c>
      <c r="E53" s="1" t="s">
        <v>549</v>
      </c>
      <c r="F53" s="1" t="s">
        <v>550</v>
      </c>
      <c r="G53" s="1">
        <v>4320</v>
      </c>
    </row>
    <row r="54" spans="1:7" x14ac:dyDescent="0.25">
      <c r="A54" s="1" t="s">
        <v>504</v>
      </c>
      <c r="B54" s="1" t="s">
        <v>173</v>
      </c>
      <c r="C54" s="1" t="s">
        <v>505</v>
      </c>
      <c r="D54" s="1" t="s">
        <v>695</v>
      </c>
      <c r="E54" s="1" t="s">
        <v>560</v>
      </c>
      <c r="F54" s="1" t="s">
        <v>561</v>
      </c>
      <c r="G54" s="1">
        <v>175.2</v>
      </c>
    </row>
    <row r="55" spans="1:7" x14ac:dyDescent="0.25">
      <c r="A55" s="1" t="s">
        <v>501</v>
      </c>
      <c r="B55" s="1" t="s">
        <v>173</v>
      </c>
      <c r="C55" s="1" t="s">
        <v>502</v>
      </c>
      <c r="G55" s="1">
        <v>0</v>
      </c>
    </row>
    <row r="56" spans="1:7" x14ac:dyDescent="0.25">
      <c r="A56" s="1" t="s">
        <v>490</v>
      </c>
      <c r="B56" s="1" t="s">
        <v>173</v>
      </c>
      <c r="C56" s="1" t="s">
        <v>491</v>
      </c>
      <c r="D56" s="1" t="s">
        <v>696</v>
      </c>
      <c r="E56" s="1" t="s">
        <v>560</v>
      </c>
      <c r="F56" s="1" t="s">
        <v>561</v>
      </c>
      <c r="G56" s="1">
        <v>197.03</v>
      </c>
    </row>
    <row r="57" spans="1:7" x14ac:dyDescent="0.25">
      <c r="A57" s="1" t="s">
        <v>282</v>
      </c>
      <c r="B57" s="1" t="s">
        <v>283</v>
      </c>
      <c r="C57" s="1" t="s">
        <v>284</v>
      </c>
      <c r="D57" s="1" t="s">
        <v>567</v>
      </c>
      <c r="E57" s="1" t="s">
        <v>567</v>
      </c>
      <c r="F57" s="1" t="s">
        <v>568</v>
      </c>
      <c r="G57" s="1">
        <v>8.2899999999999991</v>
      </c>
    </row>
    <row r="58" spans="1:7" x14ac:dyDescent="0.25">
      <c r="A58" s="1" t="s">
        <v>282</v>
      </c>
      <c r="B58" s="1" t="s">
        <v>283</v>
      </c>
      <c r="C58" s="1" t="s">
        <v>284</v>
      </c>
      <c r="D58" s="1" t="s">
        <v>567</v>
      </c>
      <c r="E58" s="1" t="s">
        <v>567</v>
      </c>
      <c r="F58" s="1" t="s">
        <v>568</v>
      </c>
      <c r="G58" s="1">
        <v>12.58</v>
      </c>
    </row>
    <row r="59" spans="1:7" x14ac:dyDescent="0.25">
      <c r="A59" s="1" t="s">
        <v>282</v>
      </c>
      <c r="B59" s="1" t="s">
        <v>283</v>
      </c>
      <c r="C59" s="1" t="s">
        <v>284</v>
      </c>
      <c r="D59" s="1" t="s">
        <v>567</v>
      </c>
      <c r="E59" s="1" t="s">
        <v>567</v>
      </c>
      <c r="F59" s="1" t="s">
        <v>568</v>
      </c>
      <c r="G59" s="1">
        <v>39.979999999999997</v>
      </c>
    </row>
    <row r="60" spans="1:7" x14ac:dyDescent="0.25">
      <c r="A60" s="1" t="s">
        <v>407</v>
      </c>
      <c r="B60" s="1" t="s">
        <v>385</v>
      </c>
      <c r="C60" s="1" t="s">
        <v>408</v>
      </c>
      <c r="G60" s="1">
        <v>0</v>
      </c>
    </row>
    <row r="61" spans="1:7" x14ac:dyDescent="0.25">
      <c r="A61" s="1" t="s">
        <v>176</v>
      </c>
      <c r="B61" s="1" t="s">
        <v>177</v>
      </c>
      <c r="C61" s="1" t="s">
        <v>178</v>
      </c>
      <c r="D61" s="1" t="s">
        <v>612</v>
      </c>
      <c r="E61" s="1" t="s">
        <v>579</v>
      </c>
      <c r="F61" s="1" t="s">
        <v>580</v>
      </c>
      <c r="G61" s="1">
        <v>420</v>
      </c>
    </row>
    <row r="62" spans="1:7" x14ac:dyDescent="0.25">
      <c r="A62" s="1" t="s">
        <v>176</v>
      </c>
      <c r="B62" s="1" t="s">
        <v>177</v>
      </c>
      <c r="C62" s="1" t="s">
        <v>178</v>
      </c>
      <c r="D62" s="1" t="s">
        <v>612</v>
      </c>
      <c r="E62" s="1" t="s">
        <v>579</v>
      </c>
      <c r="F62" s="1" t="s">
        <v>580</v>
      </c>
      <c r="G62" s="1">
        <v>399.8</v>
      </c>
    </row>
    <row r="63" spans="1:7" x14ac:dyDescent="0.25">
      <c r="A63" s="1" t="s">
        <v>238</v>
      </c>
      <c r="B63" s="1" t="s">
        <v>239</v>
      </c>
      <c r="C63" s="1" t="s">
        <v>240</v>
      </c>
      <c r="D63" s="1" t="s">
        <v>671</v>
      </c>
      <c r="E63" s="1" t="s">
        <v>549</v>
      </c>
      <c r="F63" s="1" t="s">
        <v>550</v>
      </c>
      <c r="G63" s="1">
        <v>750</v>
      </c>
    </row>
    <row r="64" spans="1:7" x14ac:dyDescent="0.25">
      <c r="A64" s="1" t="s">
        <v>375</v>
      </c>
      <c r="B64" s="1" t="s">
        <v>376</v>
      </c>
      <c r="C64" s="1" t="s">
        <v>377</v>
      </c>
      <c r="D64" s="1" t="s">
        <v>549</v>
      </c>
      <c r="E64" s="1" t="s">
        <v>549</v>
      </c>
      <c r="F64" s="1" t="s">
        <v>550</v>
      </c>
      <c r="G64" s="1">
        <v>105</v>
      </c>
    </row>
    <row r="65" spans="1:7" x14ac:dyDescent="0.25">
      <c r="A65" s="1" t="s">
        <v>375</v>
      </c>
      <c r="B65" s="1" t="s">
        <v>376</v>
      </c>
      <c r="C65" s="1" t="s">
        <v>377</v>
      </c>
      <c r="D65" s="1" t="s">
        <v>549</v>
      </c>
      <c r="E65" s="1" t="s">
        <v>549</v>
      </c>
      <c r="F65" s="1" t="s">
        <v>550</v>
      </c>
      <c r="G65" s="1">
        <v>85</v>
      </c>
    </row>
    <row r="66" spans="1:7" x14ac:dyDescent="0.25">
      <c r="A66" s="1" t="s">
        <v>375</v>
      </c>
      <c r="B66" s="1" t="s">
        <v>376</v>
      </c>
      <c r="C66" s="1" t="s">
        <v>377</v>
      </c>
      <c r="D66" s="1" t="s">
        <v>549</v>
      </c>
      <c r="E66" s="1" t="s">
        <v>549</v>
      </c>
      <c r="F66" s="1" t="s">
        <v>550</v>
      </c>
      <c r="G66" s="1">
        <v>85</v>
      </c>
    </row>
    <row r="67" spans="1:7" x14ac:dyDescent="0.25">
      <c r="A67" s="1" t="s">
        <v>375</v>
      </c>
      <c r="B67" s="1" t="s">
        <v>376</v>
      </c>
      <c r="C67" s="1" t="s">
        <v>377</v>
      </c>
      <c r="D67" s="1" t="s">
        <v>549</v>
      </c>
      <c r="E67" s="1" t="s">
        <v>549</v>
      </c>
      <c r="F67" s="1" t="s">
        <v>550</v>
      </c>
      <c r="G67" s="1">
        <v>430</v>
      </c>
    </row>
    <row r="68" spans="1:7" x14ac:dyDescent="0.25">
      <c r="A68" s="1" t="s">
        <v>375</v>
      </c>
      <c r="B68" s="1" t="s">
        <v>376</v>
      </c>
      <c r="C68" s="1" t="s">
        <v>377</v>
      </c>
      <c r="D68" s="1" t="s">
        <v>564</v>
      </c>
      <c r="E68" s="1" t="s">
        <v>551</v>
      </c>
      <c r="F68" s="1" t="s">
        <v>552</v>
      </c>
      <c r="G68" s="1">
        <v>40</v>
      </c>
    </row>
    <row r="69" spans="1:7" x14ac:dyDescent="0.25">
      <c r="A69" s="1" t="s">
        <v>375</v>
      </c>
      <c r="B69" s="1" t="s">
        <v>376</v>
      </c>
      <c r="C69" s="1" t="s">
        <v>377</v>
      </c>
      <c r="D69" s="1" t="s">
        <v>564</v>
      </c>
      <c r="E69" s="1" t="s">
        <v>551</v>
      </c>
      <c r="F69" s="1" t="s">
        <v>552</v>
      </c>
      <c r="G69" s="1">
        <v>100</v>
      </c>
    </row>
    <row r="70" spans="1:7" x14ac:dyDescent="0.25">
      <c r="A70" s="1" t="s">
        <v>375</v>
      </c>
      <c r="B70" s="1" t="s">
        <v>376</v>
      </c>
      <c r="C70" s="1" t="s">
        <v>377</v>
      </c>
      <c r="D70" s="1" t="s">
        <v>564</v>
      </c>
      <c r="E70" s="1" t="s">
        <v>551</v>
      </c>
      <c r="F70" s="1" t="s">
        <v>552</v>
      </c>
      <c r="G70" s="1">
        <v>20</v>
      </c>
    </row>
    <row r="71" spans="1:7" x14ac:dyDescent="0.25">
      <c r="A71" s="1" t="s">
        <v>375</v>
      </c>
      <c r="B71" s="1" t="s">
        <v>376</v>
      </c>
      <c r="C71" s="1" t="s">
        <v>377</v>
      </c>
      <c r="D71" s="1" t="s">
        <v>564</v>
      </c>
      <c r="E71" s="1" t="s">
        <v>551</v>
      </c>
      <c r="F71" s="1" t="s">
        <v>552</v>
      </c>
      <c r="G71" s="1">
        <v>300</v>
      </c>
    </row>
    <row r="72" spans="1:7" x14ac:dyDescent="0.25">
      <c r="A72" s="1" t="s">
        <v>375</v>
      </c>
      <c r="B72" s="1" t="s">
        <v>376</v>
      </c>
      <c r="C72" s="1" t="s">
        <v>377</v>
      </c>
      <c r="D72" s="1" t="s">
        <v>564</v>
      </c>
      <c r="E72" s="1" t="s">
        <v>551</v>
      </c>
      <c r="F72" s="1" t="s">
        <v>552</v>
      </c>
      <c r="G72" s="1">
        <v>270</v>
      </c>
    </row>
    <row r="73" spans="1:7" x14ac:dyDescent="0.25">
      <c r="A73" s="1" t="s">
        <v>375</v>
      </c>
      <c r="B73" s="1" t="s">
        <v>376</v>
      </c>
      <c r="C73" s="1" t="s">
        <v>377</v>
      </c>
      <c r="D73" s="1" t="s">
        <v>555</v>
      </c>
      <c r="E73" s="1" t="s">
        <v>555</v>
      </c>
      <c r="F73" s="1" t="s">
        <v>556</v>
      </c>
      <c r="G73" s="1">
        <v>125</v>
      </c>
    </row>
    <row r="74" spans="1:7" x14ac:dyDescent="0.25">
      <c r="A74" s="1" t="s">
        <v>375</v>
      </c>
      <c r="B74" s="1" t="s">
        <v>376</v>
      </c>
      <c r="C74" s="1" t="s">
        <v>377</v>
      </c>
      <c r="D74" s="1" t="s">
        <v>555</v>
      </c>
      <c r="E74" s="1" t="s">
        <v>555</v>
      </c>
      <c r="F74" s="1" t="s">
        <v>556</v>
      </c>
      <c r="G74" s="1">
        <v>400</v>
      </c>
    </row>
    <row r="75" spans="1:7" x14ac:dyDescent="0.25">
      <c r="A75" s="1" t="s">
        <v>375</v>
      </c>
      <c r="B75" s="1" t="s">
        <v>376</v>
      </c>
      <c r="C75" s="1" t="s">
        <v>377</v>
      </c>
      <c r="D75" s="1" t="s">
        <v>579</v>
      </c>
      <c r="E75" s="1" t="s">
        <v>579</v>
      </c>
      <c r="F75" s="1" t="s">
        <v>580</v>
      </c>
      <c r="G75" s="1">
        <v>2822.22</v>
      </c>
    </row>
    <row r="76" spans="1:7" x14ac:dyDescent="0.25">
      <c r="A76" s="1" t="s">
        <v>375</v>
      </c>
      <c r="B76" s="1" t="s">
        <v>376</v>
      </c>
      <c r="C76" s="1" t="s">
        <v>377</v>
      </c>
      <c r="D76" s="1" t="s">
        <v>564</v>
      </c>
      <c r="E76" s="1" t="s">
        <v>551</v>
      </c>
      <c r="F76" s="1" t="s">
        <v>552</v>
      </c>
      <c r="G76" s="1">
        <v>200</v>
      </c>
    </row>
    <row r="77" spans="1:7" x14ac:dyDescent="0.25">
      <c r="A77" s="1" t="s">
        <v>375</v>
      </c>
      <c r="B77" s="1" t="s">
        <v>376</v>
      </c>
      <c r="C77" s="1" t="s">
        <v>377</v>
      </c>
      <c r="D77" s="1" t="s">
        <v>564</v>
      </c>
      <c r="E77" s="1" t="s">
        <v>551</v>
      </c>
      <c r="F77" s="1" t="s">
        <v>552</v>
      </c>
      <c r="G77" s="1">
        <v>20</v>
      </c>
    </row>
    <row r="78" spans="1:7" x14ac:dyDescent="0.25">
      <c r="A78" s="1" t="s">
        <v>375</v>
      </c>
      <c r="B78" s="1" t="s">
        <v>376</v>
      </c>
      <c r="C78" s="1" t="s">
        <v>377</v>
      </c>
      <c r="D78" s="1" t="s">
        <v>610</v>
      </c>
      <c r="E78" s="1" t="s">
        <v>560</v>
      </c>
      <c r="F78" s="1" t="s">
        <v>561</v>
      </c>
      <c r="G78" s="1">
        <v>219.89</v>
      </c>
    </row>
    <row r="79" spans="1:7" x14ac:dyDescent="0.25">
      <c r="A79" s="1" t="s">
        <v>375</v>
      </c>
      <c r="B79" s="1" t="s">
        <v>376</v>
      </c>
      <c r="C79" s="1" t="s">
        <v>377</v>
      </c>
      <c r="D79" s="1" t="s">
        <v>569</v>
      </c>
      <c r="E79" s="1" t="s">
        <v>569</v>
      </c>
      <c r="F79" s="1" t="s">
        <v>570</v>
      </c>
      <c r="G79" s="1">
        <v>475</v>
      </c>
    </row>
    <row r="80" spans="1:7" x14ac:dyDescent="0.25">
      <c r="A80" s="1" t="s">
        <v>375</v>
      </c>
      <c r="B80" s="1" t="s">
        <v>376</v>
      </c>
      <c r="C80" s="1" t="s">
        <v>377</v>
      </c>
      <c r="D80" s="1" t="s">
        <v>610</v>
      </c>
      <c r="E80" s="1" t="s">
        <v>560</v>
      </c>
      <c r="F80" s="1" t="s">
        <v>561</v>
      </c>
      <c r="G80" s="1">
        <v>325</v>
      </c>
    </row>
    <row r="81" spans="1:7" x14ac:dyDescent="0.25">
      <c r="A81" s="1" t="s">
        <v>375</v>
      </c>
      <c r="B81" s="1" t="s">
        <v>376</v>
      </c>
      <c r="C81" s="1" t="s">
        <v>377</v>
      </c>
      <c r="D81" s="1" t="s">
        <v>553</v>
      </c>
      <c r="E81" s="1" t="s">
        <v>553</v>
      </c>
      <c r="F81" s="1" t="s">
        <v>554</v>
      </c>
      <c r="G81" s="1">
        <v>100</v>
      </c>
    </row>
    <row r="82" spans="1:7" x14ac:dyDescent="0.25">
      <c r="A82" s="1" t="s">
        <v>375</v>
      </c>
      <c r="B82" s="1" t="s">
        <v>376</v>
      </c>
      <c r="C82" s="1" t="s">
        <v>377</v>
      </c>
      <c r="D82" s="1" t="s">
        <v>553</v>
      </c>
      <c r="E82" s="1" t="s">
        <v>553</v>
      </c>
      <c r="F82" s="1" t="s">
        <v>554</v>
      </c>
      <c r="G82" s="1">
        <v>25</v>
      </c>
    </row>
    <row r="83" spans="1:7" x14ac:dyDescent="0.25">
      <c r="A83" s="1" t="s">
        <v>381</v>
      </c>
      <c r="B83" s="1" t="s">
        <v>382</v>
      </c>
      <c r="C83" s="1" t="s">
        <v>42</v>
      </c>
      <c r="D83" s="1" t="s">
        <v>718</v>
      </c>
      <c r="E83" s="1" t="s">
        <v>551</v>
      </c>
      <c r="F83" s="1" t="s">
        <v>552</v>
      </c>
      <c r="G83" s="1">
        <v>180</v>
      </c>
    </row>
    <row r="84" spans="1:7" x14ac:dyDescent="0.25">
      <c r="A84" s="1" t="s">
        <v>482</v>
      </c>
      <c r="B84" s="1" t="s">
        <v>479</v>
      </c>
      <c r="C84" s="1" t="s">
        <v>480</v>
      </c>
      <c r="G84" s="1">
        <v>0</v>
      </c>
    </row>
    <row r="85" spans="1:7" x14ac:dyDescent="0.25">
      <c r="A85" s="1" t="s">
        <v>364</v>
      </c>
      <c r="B85" s="1" t="s">
        <v>355</v>
      </c>
      <c r="C85" s="1" t="s">
        <v>365</v>
      </c>
      <c r="D85" s="1" t="s">
        <v>662</v>
      </c>
      <c r="E85" s="1" t="s">
        <v>555</v>
      </c>
      <c r="F85" s="1" t="s">
        <v>556</v>
      </c>
      <c r="G85" s="1">
        <v>490</v>
      </c>
    </row>
    <row r="86" spans="1:7" x14ac:dyDescent="0.25">
      <c r="A86" s="1" t="s">
        <v>364</v>
      </c>
      <c r="B86" s="1" t="s">
        <v>355</v>
      </c>
      <c r="C86" s="1" t="s">
        <v>365</v>
      </c>
      <c r="D86" s="1" t="s">
        <v>663</v>
      </c>
      <c r="E86" s="1" t="s">
        <v>555</v>
      </c>
      <c r="F86" s="1" t="s">
        <v>556</v>
      </c>
      <c r="G86" s="1">
        <v>200</v>
      </c>
    </row>
    <row r="87" spans="1:7" x14ac:dyDescent="0.25">
      <c r="A87" s="1" t="s">
        <v>364</v>
      </c>
      <c r="B87" s="1" t="s">
        <v>355</v>
      </c>
      <c r="C87" s="1" t="s">
        <v>365</v>
      </c>
      <c r="D87" s="1" t="s">
        <v>664</v>
      </c>
      <c r="E87" s="1" t="s">
        <v>555</v>
      </c>
      <c r="F87" s="1" t="s">
        <v>556</v>
      </c>
      <c r="G87" s="1">
        <v>250</v>
      </c>
    </row>
    <row r="88" spans="1:7" x14ac:dyDescent="0.25">
      <c r="A88" s="1" t="s">
        <v>361</v>
      </c>
      <c r="B88" s="1" t="s">
        <v>355</v>
      </c>
      <c r="C88" s="1" t="s">
        <v>362</v>
      </c>
      <c r="D88" s="1" t="s">
        <v>665</v>
      </c>
      <c r="E88" s="1" t="s">
        <v>555</v>
      </c>
      <c r="F88" s="1" t="s">
        <v>556</v>
      </c>
      <c r="G88" s="1">
        <v>300</v>
      </c>
    </row>
    <row r="89" spans="1:7" x14ac:dyDescent="0.25">
      <c r="A89" s="1" t="s">
        <v>361</v>
      </c>
      <c r="B89" s="1" t="s">
        <v>355</v>
      </c>
      <c r="C89" s="1" t="s">
        <v>362</v>
      </c>
      <c r="D89" s="1" t="s">
        <v>666</v>
      </c>
      <c r="E89" s="1" t="s">
        <v>555</v>
      </c>
      <c r="F89" s="1" t="s">
        <v>556</v>
      </c>
      <c r="G89" s="1">
        <v>100</v>
      </c>
    </row>
    <row r="90" spans="1:7" x14ac:dyDescent="0.25">
      <c r="A90" s="1" t="s">
        <v>358</v>
      </c>
      <c r="B90" s="1" t="s">
        <v>355</v>
      </c>
      <c r="C90" s="1" t="s">
        <v>359</v>
      </c>
      <c r="D90" s="1" t="s">
        <v>665</v>
      </c>
      <c r="E90" s="1" t="s">
        <v>555</v>
      </c>
      <c r="F90" s="1" t="s">
        <v>556</v>
      </c>
      <c r="G90" s="1">
        <v>200</v>
      </c>
    </row>
    <row r="91" spans="1:7" x14ac:dyDescent="0.25">
      <c r="A91" s="1" t="s">
        <v>358</v>
      </c>
      <c r="B91" s="1" t="s">
        <v>355</v>
      </c>
      <c r="C91" s="1" t="s">
        <v>359</v>
      </c>
      <c r="D91" s="1" t="s">
        <v>666</v>
      </c>
      <c r="E91" s="1" t="s">
        <v>555</v>
      </c>
      <c r="F91" s="1" t="s">
        <v>556</v>
      </c>
      <c r="G91" s="1">
        <v>200</v>
      </c>
    </row>
    <row r="92" spans="1:7" x14ac:dyDescent="0.25">
      <c r="A92" s="1" t="s">
        <v>354</v>
      </c>
      <c r="B92" s="1" t="s">
        <v>355</v>
      </c>
      <c r="C92" s="1" t="s">
        <v>356</v>
      </c>
      <c r="D92" s="1" t="s">
        <v>665</v>
      </c>
      <c r="E92" s="1" t="s">
        <v>555</v>
      </c>
      <c r="F92" s="1" t="s">
        <v>556</v>
      </c>
      <c r="G92" s="1">
        <v>200</v>
      </c>
    </row>
    <row r="93" spans="1:7" x14ac:dyDescent="0.25">
      <c r="A93" s="1" t="s">
        <v>354</v>
      </c>
      <c r="B93" s="1" t="s">
        <v>355</v>
      </c>
      <c r="C93" s="1" t="s">
        <v>356</v>
      </c>
      <c r="D93" s="1" t="s">
        <v>666</v>
      </c>
      <c r="E93" s="1" t="s">
        <v>555</v>
      </c>
      <c r="F93" s="1" t="s">
        <v>556</v>
      </c>
      <c r="G93" s="1">
        <v>150</v>
      </c>
    </row>
    <row r="94" spans="1:7" x14ac:dyDescent="0.25">
      <c r="A94" s="1" t="s">
        <v>367</v>
      </c>
      <c r="B94" s="1" t="s">
        <v>355</v>
      </c>
      <c r="C94" s="1" t="s">
        <v>368</v>
      </c>
      <c r="D94" s="1" t="s">
        <v>42</v>
      </c>
      <c r="E94" s="1" t="s">
        <v>560</v>
      </c>
      <c r="F94" s="1" t="s">
        <v>561</v>
      </c>
      <c r="G94" s="1">
        <v>509.66</v>
      </c>
    </row>
    <row r="95" spans="1:7" x14ac:dyDescent="0.25">
      <c r="A95" s="1" t="s">
        <v>146</v>
      </c>
      <c r="B95" s="1" t="s">
        <v>141</v>
      </c>
      <c r="C95" s="1" t="s">
        <v>147</v>
      </c>
      <c r="D95" s="1" t="s">
        <v>730</v>
      </c>
      <c r="E95" s="1" t="s">
        <v>558</v>
      </c>
      <c r="F95" s="1" t="s">
        <v>559</v>
      </c>
      <c r="G95" s="1">
        <v>52.5</v>
      </c>
    </row>
    <row r="96" spans="1:7" x14ac:dyDescent="0.25">
      <c r="A96" s="1" t="s">
        <v>146</v>
      </c>
      <c r="B96" s="1" t="s">
        <v>141</v>
      </c>
      <c r="C96" s="1" t="s">
        <v>147</v>
      </c>
      <c r="D96" s="1" t="s">
        <v>574</v>
      </c>
      <c r="E96" s="1" t="s">
        <v>551</v>
      </c>
      <c r="F96" s="1" t="s">
        <v>552</v>
      </c>
      <c r="G96" s="1">
        <v>10</v>
      </c>
    </row>
    <row r="97" spans="1:7" x14ac:dyDescent="0.25">
      <c r="A97" s="1" t="s">
        <v>146</v>
      </c>
      <c r="B97" s="1" t="s">
        <v>141</v>
      </c>
      <c r="C97" s="1" t="s">
        <v>147</v>
      </c>
      <c r="D97" s="1" t="s">
        <v>574</v>
      </c>
      <c r="E97" s="1" t="s">
        <v>551</v>
      </c>
      <c r="F97" s="1" t="s">
        <v>552</v>
      </c>
      <c r="G97" s="1">
        <v>45</v>
      </c>
    </row>
    <row r="98" spans="1:7" x14ac:dyDescent="0.25">
      <c r="A98" s="1" t="s">
        <v>80</v>
      </c>
      <c r="B98" s="1" t="s">
        <v>23</v>
      </c>
      <c r="C98" s="1" t="s">
        <v>24</v>
      </c>
      <c r="D98" s="1" t="s">
        <v>548</v>
      </c>
      <c r="E98" s="1" t="s">
        <v>581</v>
      </c>
      <c r="F98" s="1" t="s">
        <v>582</v>
      </c>
      <c r="G98" s="1">
        <v>2046.88</v>
      </c>
    </row>
    <row r="99" spans="1:7" x14ac:dyDescent="0.25">
      <c r="A99" s="1" t="s">
        <v>69</v>
      </c>
      <c r="B99" s="1" t="s">
        <v>60</v>
      </c>
      <c r="C99" s="1" t="s">
        <v>70</v>
      </c>
      <c r="D99" s="1" t="s">
        <v>573</v>
      </c>
      <c r="E99" s="1" t="s">
        <v>571</v>
      </c>
      <c r="F99" s="1" t="s">
        <v>572</v>
      </c>
      <c r="G99" s="1">
        <v>2056.25</v>
      </c>
    </row>
    <row r="100" spans="1:7" x14ac:dyDescent="0.25">
      <c r="A100" s="1" t="s">
        <v>63</v>
      </c>
      <c r="B100" s="1" t="s">
        <v>60</v>
      </c>
      <c r="C100" s="1" t="s">
        <v>64</v>
      </c>
      <c r="D100" s="1" t="s">
        <v>555</v>
      </c>
      <c r="E100" s="1" t="s">
        <v>555</v>
      </c>
      <c r="F100" s="1" t="s">
        <v>556</v>
      </c>
      <c r="G100" s="1">
        <v>1500</v>
      </c>
    </row>
    <row r="101" spans="1:7" x14ac:dyDescent="0.25">
      <c r="A101" s="1" t="s">
        <v>63</v>
      </c>
      <c r="B101" s="1" t="s">
        <v>60</v>
      </c>
      <c r="C101" s="1" t="s">
        <v>64</v>
      </c>
      <c r="D101" s="1" t="s">
        <v>549</v>
      </c>
      <c r="E101" s="1" t="s">
        <v>549</v>
      </c>
      <c r="F101" s="1" t="s">
        <v>550</v>
      </c>
      <c r="G101" s="1">
        <v>300</v>
      </c>
    </row>
    <row r="102" spans="1:7" x14ac:dyDescent="0.25">
      <c r="A102" s="1" t="s">
        <v>63</v>
      </c>
      <c r="B102" s="1" t="s">
        <v>60</v>
      </c>
      <c r="C102" s="1" t="s">
        <v>64</v>
      </c>
      <c r="D102" s="1" t="s">
        <v>588</v>
      </c>
      <c r="E102" s="1" t="s">
        <v>560</v>
      </c>
      <c r="F102" s="1" t="s">
        <v>561</v>
      </c>
      <c r="G102" s="1">
        <v>119</v>
      </c>
    </row>
    <row r="103" spans="1:7" x14ac:dyDescent="0.25">
      <c r="A103" s="1" t="s">
        <v>475</v>
      </c>
      <c r="B103" s="1" t="s">
        <v>452</v>
      </c>
      <c r="C103" s="1" t="s">
        <v>476</v>
      </c>
      <c r="D103" s="1" t="s">
        <v>571</v>
      </c>
      <c r="E103" s="1" t="s">
        <v>571</v>
      </c>
      <c r="F103" s="1" t="s">
        <v>572</v>
      </c>
      <c r="G103" s="1">
        <v>151.80000000000001</v>
      </c>
    </row>
    <row r="104" spans="1:7" x14ac:dyDescent="0.25">
      <c r="A104" s="1" t="s">
        <v>475</v>
      </c>
      <c r="B104" s="1" t="s">
        <v>452</v>
      </c>
      <c r="C104" s="1" t="s">
        <v>476</v>
      </c>
      <c r="D104" s="1" t="s">
        <v>620</v>
      </c>
      <c r="E104" s="1" t="s">
        <v>590</v>
      </c>
      <c r="F104" s="1" t="s">
        <v>591</v>
      </c>
      <c r="G104" s="1">
        <v>600</v>
      </c>
    </row>
    <row r="105" spans="1:7" x14ac:dyDescent="0.25">
      <c r="A105" s="1" t="s">
        <v>472</v>
      </c>
      <c r="B105" s="1" t="s">
        <v>452</v>
      </c>
      <c r="C105" s="1" t="s">
        <v>473</v>
      </c>
      <c r="D105" s="1" t="s">
        <v>571</v>
      </c>
      <c r="E105" s="1" t="s">
        <v>571</v>
      </c>
      <c r="F105" s="1" t="s">
        <v>572</v>
      </c>
      <c r="G105" s="1">
        <v>407.48</v>
      </c>
    </row>
    <row r="106" spans="1:7" x14ac:dyDescent="0.25">
      <c r="A106" s="1" t="s">
        <v>472</v>
      </c>
      <c r="B106" s="1" t="s">
        <v>452</v>
      </c>
      <c r="C106" s="1" t="s">
        <v>473</v>
      </c>
      <c r="D106" s="1" t="s">
        <v>620</v>
      </c>
      <c r="E106" s="1" t="s">
        <v>590</v>
      </c>
      <c r="F106" s="1" t="s">
        <v>591</v>
      </c>
      <c r="G106" s="1">
        <v>600</v>
      </c>
    </row>
    <row r="107" spans="1:7" x14ac:dyDescent="0.25">
      <c r="A107" s="1" t="s">
        <v>470</v>
      </c>
      <c r="B107" s="1" t="s">
        <v>452</v>
      </c>
      <c r="C107" s="1" t="s">
        <v>453</v>
      </c>
      <c r="D107" s="1" t="s">
        <v>621</v>
      </c>
      <c r="E107" s="1" t="s">
        <v>571</v>
      </c>
      <c r="F107" s="1" t="s">
        <v>572</v>
      </c>
      <c r="G107" s="1">
        <v>539.08000000000004</v>
      </c>
    </row>
    <row r="108" spans="1:7" x14ac:dyDescent="0.25">
      <c r="A108" s="1" t="s">
        <v>470</v>
      </c>
      <c r="B108" s="1" t="s">
        <v>452</v>
      </c>
      <c r="C108" s="1" t="s">
        <v>453</v>
      </c>
      <c r="D108" s="1" t="s">
        <v>620</v>
      </c>
      <c r="E108" s="1" t="s">
        <v>590</v>
      </c>
      <c r="F108" s="1" t="s">
        <v>591</v>
      </c>
      <c r="G108" s="1">
        <v>600</v>
      </c>
    </row>
    <row r="109" spans="1:7" x14ac:dyDescent="0.25">
      <c r="A109" s="1" t="s">
        <v>467</v>
      </c>
      <c r="B109" s="1" t="s">
        <v>452</v>
      </c>
      <c r="C109" s="1" t="s">
        <v>468</v>
      </c>
      <c r="D109" s="1" t="s">
        <v>621</v>
      </c>
      <c r="E109" s="1" t="s">
        <v>571</v>
      </c>
      <c r="F109" s="1" t="s">
        <v>572</v>
      </c>
      <c r="G109" s="1">
        <v>642.64</v>
      </c>
    </row>
    <row r="110" spans="1:7" x14ac:dyDescent="0.25">
      <c r="A110" s="1" t="s">
        <v>467</v>
      </c>
      <c r="B110" s="1" t="s">
        <v>452</v>
      </c>
      <c r="C110" s="1" t="s">
        <v>468</v>
      </c>
      <c r="D110" s="1" t="s">
        <v>620</v>
      </c>
      <c r="E110" s="1" t="s">
        <v>590</v>
      </c>
      <c r="F110" s="1" t="s">
        <v>591</v>
      </c>
      <c r="G110" s="1">
        <v>1200</v>
      </c>
    </row>
    <row r="111" spans="1:7" x14ac:dyDescent="0.25">
      <c r="A111" s="1" t="s">
        <v>464</v>
      </c>
      <c r="B111" s="1" t="s">
        <v>452</v>
      </c>
      <c r="C111" s="1" t="s">
        <v>465</v>
      </c>
      <c r="D111" s="1" t="s">
        <v>571</v>
      </c>
      <c r="E111" s="1" t="s">
        <v>571</v>
      </c>
      <c r="F111" s="1" t="s">
        <v>572</v>
      </c>
      <c r="G111" s="1">
        <v>1741.04</v>
      </c>
    </row>
    <row r="112" spans="1:7" x14ac:dyDescent="0.25">
      <c r="A112" s="1" t="s">
        <v>464</v>
      </c>
      <c r="B112" s="1" t="s">
        <v>452</v>
      </c>
      <c r="C112" s="1" t="s">
        <v>465</v>
      </c>
      <c r="D112" s="1" t="s">
        <v>620</v>
      </c>
      <c r="E112" s="1" t="s">
        <v>590</v>
      </c>
      <c r="F112" s="1" t="s">
        <v>591</v>
      </c>
      <c r="G112" s="1">
        <v>1000</v>
      </c>
    </row>
    <row r="113" spans="1:7" x14ac:dyDescent="0.25">
      <c r="A113" s="1" t="s">
        <v>461</v>
      </c>
      <c r="B113" s="1" t="s">
        <v>452</v>
      </c>
      <c r="C113" s="1" t="s">
        <v>462</v>
      </c>
      <c r="D113" s="1" t="s">
        <v>621</v>
      </c>
      <c r="E113" s="1" t="s">
        <v>571</v>
      </c>
      <c r="F113" s="1" t="s">
        <v>572</v>
      </c>
      <c r="G113" s="1">
        <v>326.64</v>
      </c>
    </row>
    <row r="114" spans="1:7" x14ac:dyDescent="0.25">
      <c r="A114" s="1" t="s">
        <v>461</v>
      </c>
      <c r="B114" s="1" t="s">
        <v>452</v>
      </c>
      <c r="C114" s="1" t="s">
        <v>462</v>
      </c>
      <c r="D114" s="1" t="s">
        <v>620</v>
      </c>
      <c r="E114" s="1" t="s">
        <v>590</v>
      </c>
      <c r="F114" s="1" t="s">
        <v>591</v>
      </c>
      <c r="G114" s="1">
        <v>600</v>
      </c>
    </row>
    <row r="115" spans="1:7" x14ac:dyDescent="0.25">
      <c r="A115" s="1" t="s">
        <v>458</v>
      </c>
      <c r="B115" s="1" t="s">
        <v>452</v>
      </c>
      <c r="C115" s="1" t="s">
        <v>459</v>
      </c>
      <c r="D115" s="1" t="s">
        <v>620</v>
      </c>
      <c r="E115" s="1" t="s">
        <v>590</v>
      </c>
      <c r="F115" s="1" t="s">
        <v>591</v>
      </c>
      <c r="G115" s="1">
        <v>700</v>
      </c>
    </row>
    <row r="116" spans="1:7" x14ac:dyDescent="0.25">
      <c r="A116" s="1" t="s">
        <v>455</v>
      </c>
      <c r="B116" s="1" t="s">
        <v>452</v>
      </c>
      <c r="C116" s="1" t="s">
        <v>456</v>
      </c>
      <c r="D116" s="1" t="s">
        <v>571</v>
      </c>
      <c r="E116" s="1" t="s">
        <v>571</v>
      </c>
      <c r="F116" s="1" t="s">
        <v>572</v>
      </c>
      <c r="G116" s="1">
        <v>325.51</v>
      </c>
    </row>
    <row r="117" spans="1:7" x14ac:dyDescent="0.25">
      <c r="A117" s="1" t="s">
        <v>455</v>
      </c>
      <c r="B117" s="1" t="s">
        <v>452</v>
      </c>
      <c r="C117" s="1" t="s">
        <v>456</v>
      </c>
      <c r="D117" s="1" t="s">
        <v>620</v>
      </c>
      <c r="E117" s="1" t="s">
        <v>590</v>
      </c>
      <c r="F117" s="1" t="s">
        <v>591</v>
      </c>
      <c r="G117" s="1">
        <v>600</v>
      </c>
    </row>
    <row r="118" spans="1:7" x14ac:dyDescent="0.25">
      <c r="A118" s="1" t="s">
        <v>451</v>
      </c>
      <c r="B118" s="1" t="s">
        <v>452</v>
      </c>
      <c r="C118" s="1" t="s">
        <v>453</v>
      </c>
      <c r="D118" s="1" t="s">
        <v>621</v>
      </c>
      <c r="E118" s="1" t="s">
        <v>571</v>
      </c>
      <c r="F118" s="1" t="s">
        <v>572</v>
      </c>
      <c r="G118" s="1">
        <v>539.08000000000004</v>
      </c>
    </row>
    <row r="119" spans="1:7" x14ac:dyDescent="0.25">
      <c r="A119" s="1" t="s">
        <v>451</v>
      </c>
      <c r="B119" s="1" t="s">
        <v>452</v>
      </c>
      <c r="C119" s="1" t="s">
        <v>453</v>
      </c>
      <c r="D119" s="1" t="s">
        <v>620</v>
      </c>
      <c r="E119" s="1" t="s">
        <v>590</v>
      </c>
      <c r="F119" s="1" t="s">
        <v>591</v>
      </c>
      <c r="G119" s="1">
        <v>600</v>
      </c>
    </row>
    <row r="120" spans="1:7" x14ac:dyDescent="0.25">
      <c r="A120" s="1" t="s">
        <v>448</v>
      </c>
      <c r="B120" s="1" t="s">
        <v>331</v>
      </c>
      <c r="C120" s="1" t="s">
        <v>449</v>
      </c>
      <c r="G120" s="1">
        <v>0</v>
      </c>
    </row>
    <row r="121" spans="1:7" x14ac:dyDescent="0.25">
      <c r="A121" s="1" t="s">
        <v>40</v>
      </c>
      <c r="B121" s="1" t="s">
        <v>41</v>
      </c>
      <c r="C121" s="1" t="s">
        <v>42</v>
      </c>
      <c r="D121" s="1" t="s">
        <v>549</v>
      </c>
      <c r="E121" s="1" t="s">
        <v>549</v>
      </c>
      <c r="F121" s="1" t="s">
        <v>550</v>
      </c>
      <c r="G121" s="1">
        <v>1026</v>
      </c>
    </row>
    <row r="122" spans="1:7" x14ac:dyDescent="0.25">
      <c r="A122" s="1" t="s">
        <v>40</v>
      </c>
      <c r="B122" s="1" t="s">
        <v>41</v>
      </c>
      <c r="C122" s="1" t="s">
        <v>42</v>
      </c>
      <c r="D122" s="1" t="s">
        <v>579</v>
      </c>
      <c r="E122" s="1" t="s">
        <v>579</v>
      </c>
      <c r="F122" s="1" t="s">
        <v>580</v>
      </c>
      <c r="G122" s="1">
        <v>2592.67</v>
      </c>
    </row>
    <row r="123" spans="1:7" x14ac:dyDescent="0.25">
      <c r="A123" s="1" t="s">
        <v>410</v>
      </c>
      <c r="B123" s="1" t="s">
        <v>41</v>
      </c>
      <c r="C123" s="1" t="s">
        <v>411</v>
      </c>
      <c r="D123" s="1" t="s">
        <v>555</v>
      </c>
      <c r="E123" s="1" t="s">
        <v>555</v>
      </c>
      <c r="F123" s="1" t="s">
        <v>556</v>
      </c>
      <c r="G123" s="1">
        <v>1344</v>
      </c>
    </row>
    <row r="124" spans="1:7" x14ac:dyDescent="0.25">
      <c r="A124" s="1" t="s">
        <v>410</v>
      </c>
      <c r="B124" s="1" t="s">
        <v>41</v>
      </c>
      <c r="C124" s="1" t="s">
        <v>411</v>
      </c>
      <c r="D124" s="1" t="s">
        <v>569</v>
      </c>
      <c r="E124" s="1" t="s">
        <v>569</v>
      </c>
      <c r="F124" s="1" t="s">
        <v>570</v>
      </c>
      <c r="G124" s="1">
        <v>300</v>
      </c>
    </row>
    <row r="125" spans="1:7" x14ac:dyDescent="0.25">
      <c r="A125" s="1" t="s">
        <v>444</v>
      </c>
      <c r="B125" s="1" t="s">
        <v>445</v>
      </c>
      <c r="C125" s="1" t="s">
        <v>446</v>
      </c>
      <c r="D125" s="1" t="s">
        <v>710</v>
      </c>
      <c r="E125" s="1" t="s">
        <v>549</v>
      </c>
      <c r="F125" s="1" t="s">
        <v>550</v>
      </c>
      <c r="G125" s="1">
        <v>6066.25</v>
      </c>
    </row>
    <row r="126" spans="1:7" x14ac:dyDescent="0.25">
      <c r="A126" s="1" t="s">
        <v>441</v>
      </c>
      <c r="B126" s="1" t="s">
        <v>432</v>
      </c>
      <c r="C126" s="1" t="s">
        <v>442</v>
      </c>
      <c r="D126" s="1" t="s">
        <v>681</v>
      </c>
      <c r="E126" s="1" t="s">
        <v>549</v>
      </c>
      <c r="F126" s="1" t="s">
        <v>550</v>
      </c>
      <c r="G126" s="1">
        <v>2250</v>
      </c>
    </row>
    <row r="127" spans="1:7" x14ac:dyDescent="0.25">
      <c r="A127" s="1" t="s">
        <v>351</v>
      </c>
      <c r="B127" s="1" t="s">
        <v>77</v>
      </c>
      <c r="C127" s="1" t="s">
        <v>352</v>
      </c>
      <c r="D127" s="1" t="s">
        <v>549</v>
      </c>
      <c r="E127" s="1" t="s">
        <v>549</v>
      </c>
      <c r="F127" s="1" t="s">
        <v>550</v>
      </c>
      <c r="G127" s="1">
        <v>270</v>
      </c>
    </row>
    <row r="128" spans="1:7" x14ac:dyDescent="0.25">
      <c r="A128" s="1" t="s">
        <v>110</v>
      </c>
      <c r="B128" s="1" t="s">
        <v>111</v>
      </c>
      <c r="C128" s="1" t="s">
        <v>112</v>
      </c>
      <c r="D128" s="1" t="s">
        <v>627</v>
      </c>
      <c r="E128" s="1" t="s">
        <v>560</v>
      </c>
      <c r="F128" s="1" t="s">
        <v>561</v>
      </c>
      <c r="G128" s="1">
        <v>576</v>
      </c>
    </row>
    <row r="129" spans="1:7" x14ac:dyDescent="0.25">
      <c r="A129" s="1" t="s">
        <v>110</v>
      </c>
      <c r="B129" s="1" t="s">
        <v>111</v>
      </c>
      <c r="C129" s="1" t="s">
        <v>112</v>
      </c>
      <c r="D129" s="1" t="s">
        <v>628</v>
      </c>
      <c r="E129" s="1" t="s">
        <v>560</v>
      </c>
      <c r="F129" s="1" t="s">
        <v>561</v>
      </c>
      <c r="G129" s="1">
        <v>116.66</v>
      </c>
    </row>
    <row r="130" spans="1:7" x14ac:dyDescent="0.25">
      <c r="A130" s="1" t="s">
        <v>110</v>
      </c>
      <c r="B130" s="1" t="s">
        <v>111</v>
      </c>
      <c r="C130" s="1" t="s">
        <v>112</v>
      </c>
      <c r="D130" s="1" t="s">
        <v>629</v>
      </c>
      <c r="E130" s="1" t="s">
        <v>560</v>
      </c>
      <c r="F130" s="1" t="s">
        <v>561</v>
      </c>
      <c r="G130" s="1">
        <v>499</v>
      </c>
    </row>
    <row r="131" spans="1:7" x14ac:dyDescent="0.25">
      <c r="A131" s="1" t="s">
        <v>110</v>
      </c>
      <c r="B131" s="1" t="s">
        <v>111</v>
      </c>
      <c r="C131" s="1" t="s">
        <v>112</v>
      </c>
      <c r="D131" s="1" t="s">
        <v>630</v>
      </c>
      <c r="E131" s="1" t="s">
        <v>560</v>
      </c>
      <c r="F131" s="1" t="s">
        <v>561</v>
      </c>
      <c r="G131" s="1">
        <v>233.31</v>
      </c>
    </row>
    <row r="132" spans="1:7" x14ac:dyDescent="0.25">
      <c r="A132" s="1" t="s">
        <v>110</v>
      </c>
      <c r="B132" s="1" t="s">
        <v>111</v>
      </c>
      <c r="C132" s="1" t="s">
        <v>112</v>
      </c>
      <c r="D132" s="1" t="s">
        <v>631</v>
      </c>
      <c r="E132" s="1" t="s">
        <v>560</v>
      </c>
      <c r="F132" s="1" t="s">
        <v>561</v>
      </c>
      <c r="G132" s="1">
        <v>43</v>
      </c>
    </row>
    <row r="133" spans="1:7" x14ac:dyDescent="0.25">
      <c r="A133" s="1" t="s">
        <v>110</v>
      </c>
      <c r="B133" s="1" t="s">
        <v>111</v>
      </c>
      <c r="C133" s="1" t="s">
        <v>112</v>
      </c>
      <c r="D133" s="1" t="s">
        <v>632</v>
      </c>
      <c r="E133" s="1" t="s">
        <v>560</v>
      </c>
      <c r="F133" s="1" t="s">
        <v>561</v>
      </c>
      <c r="G133" s="1">
        <v>14</v>
      </c>
    </row>
    <row r="134" spans="1:7" x14ac:dyDescent="0.25">
      <c r="A134" s="1" t="s">
        <v>438</v>
      </c>
      <c r="B134" s="1" t="s">
        <v>432</v>
      </c>
      <c r="C134" s="1" t="s">
        <v>439</v>
      </c>
      <c r="D134" s="1" t="s">
        <v>682</v>
      </c>
      <c r="E134" s="1" t="s">
        <v>549</v>
      </c>
      <c r="F134" s="1" t="s">
        <v>550</v>
      </c>
      <c r="G134" s="1">
        <v>2145</v>
      </c>
    </row>
    <row r="135" spans="1:7" x14ac:dyDescent="0.25">
      <c r="A135" s="1" t="s">
        <v>438</v>
      </c>
      <c r="B135" s="1" t="s">
        <v>432</v>
      </c>
      <c r="C135" s="1" t="s">
        <v>439</v>
      </c>
      <c r="D135" s="1" t="s">
        <v>683</v>
      </c>
      <c r="E135" s="1" t="s">
        <v>553</v>
      </c>
      <c r="F135" s="1" t="s">
        <v>554</v>
      </c>
      <c r="G135" s="1">
        <v>500</v>
      </c>
    </row>
    <row r="136" spans="1:7" x14ac:dyDescent="0.25">
      <c r="A136" s="1" t="s">
        <v>438</v>
      </c>
      <c r="B136" s="1" t="s">
        <v>432</v>
      </c>
      <c r="C136" s="1" t="s">
        <v>439</v>
      </c>
      <c r="D136" s="1" t="s">
        <v>684</v>
      </c>
      <c r="E136" s="1" t="s">
        <v>555</v>
      </c>
      <c r="F136" s="1" t="s">
        <v>556</v>
      </c>
      <c r="G136" s="1">
        <v>264.5</v>
      </c>
    </row>
    <row r="137" spans="1:7" x14ac:dyDescent="0.25">
      <c r="A137" s="1" t="s">
        <v>222</v>
      </c>
      <c r="B137" s="1" t="s">
        <v>223</v>
      </c>
      <c r="C137" s="1" t="s">
        <v>224</v>
      </c>
      <c r="D137" s="1" t="s">
        <v>224</v>
      </c>
      <c r="E137" s="1" t="s">
        <v>560</v>
      </c>
      <c r="F137" s="1" t="s">
        <v>561</v>
      </c>
      <c r="G137" s="1">
        <v>352.78</v>
      </c>
    </row>
    <row r="138" spans="1:7" x14ac:dyDescent="0.25">
      <c r="A138" s="1" t="s">
        <v>222</v>
      </c>
      <c r="B138" s="1" t="s">
        <v>223</v>
      </c>
      <c r="C138" s="1" t="s">
        <v>224</v>
      </c>
      <c r="D138" s="1" t="s">
        <v>593</v>
      </c>
      <c r="E138" s="1" t="s">
        <v>560</v>
      </c>
      <c r="F138" s="1" t="s">
        <v>561</v>
      </c>
      <c r="G138" s="1">
        <v>539.9</v>
      </c>
    </row>
    <row r="139" spans="1:7" x14ac:dyDescent="0.25">
      <c r="A139" s="1" t="s">
        <v>435</v>
      </c>
      <c r="B139" s="1" t="s">
        <v>301</v>
      </c>
      <c r="C139" s="1" t="s">
        <v>436</v>
      </c>
      <c r="D139" s="1" t="s">
        <v>611</v>
      </c>
      <c r="E139" s="1" t="s">
        <v>571</v>
      </c>
      <c r="F139" s="1" t="s">
        <v>572</v>
      </c>
      <c r="G139" s="1">
        <v>1789.2</v>
      </c>
    </row>
    <row r="140" spans="1:7" x14ac:dyDescent="0.25">
      <c r="A140" s="1" t="s">
        <v>126</v>
      </c>
      <c r="B140" s="1" t="s">
        <v>77</v>
      </c>
      <c r="C140" s="1" t="s">
        <v>127</v>
      </c>
      <c r="D140" s="1" t="s">
        <v>675</v>
      </c>
      <c r="E140" s="1" t="s">
        <v>590</v>
      </c>
      <c r="F140" s="1" t="s">
        <v>608</v>
      </c>
      <c r="G140" s="1">
        <v>1500</v>
      </c>
    </row>
    <row r="141" spans="1:7" x14ac:dyDescent="0.25">
      <c r="A141" s="1" t="s">
        <v>226</v>
      </c>
      <c r="B141" s="1" t="s">
        <v>227</v>
      </c>
      <c r="C141" s="1" t="s">
        <v>228</v>
      </c>
      <c r="D141" s="1" t="s">
        <v>639</v>
      </c>
      <c r="E141" s="1" t="s">
        <v>551</v>
      </c>
      <c r="F141" s="1" t="s">
        <v>552</v>
      </c>
      <c r="G141" s="1">
        <v>149</v>
      </c>
    </row>
    <row r="142" spans="1:7" x14ac:dyDescent="0.25">
      <c r="A142" s="1" t="s">
        <v>226</v>
      </c>
      <c r="B142" s="1" t="s">
        <v>227</v>
      </c>
      <c r="C142" s="1" t="s">
        <v>228</v>
      </c>
      <c r="D142" s="1" t="s">
        <v>640</v>
      </c>
      <c r="E142" s="1" t="s">
        <v>549</v>
      </c>
      <c r="F142" s="1" t="s">
        <v>550</v>
      </c>
      <c r="G142" s="1">
        <v>1200</v>
      </c>
    </row>
    <row r="143" spans="1:7" x14ac:dyDescent="0.25">
      <c r="A143" s="1" t="s">
        <v>226</v>
      </c>
      <c r="B143" s="1" t="s">
        <v>227</v>
      </c>
      <c r="C143" s="1" t="s">
        <v>228</v>
      </c>
      <c r="D143" s="1" t="s">
        <v>641</v>
      </c>
      <c r="E143" s="1" t="s">
        <v>553</v>
      </c>
      <c r="F143" s="1" t="s">
        <v>554</v>
      </c>
      <c r="G143" s="1">
        <v>150</v>
      </c>
    </row>
    <row r="144" spans="1:7" x14ac:dyDescent="0.25">
      <c r="A144" s="1" t="s">
        <v>431</v>
      </c>
      <c r="B144" s="1" t="s">
        <v>432</v>
      </c>
      <c r="C144" s="1" t="s">
        <v>433</v>
      </c>
      <c r="D144" s="1" t="s">
        <v>685</v>
      </c>
      <c r="E144" s="1" t="s">
        <v>549</v>
      </c>
      <c r="F144" s="1" t="s">
        <v>550</v>
      </c>
      <c r="G144" s="1">
        <v>1400</v>
      </c>
    </row>
    <row r="145" spans="1:7" x14ac:dyDescent="0.25">
      <c r="A145" s="1" t="s">
        <v>431</v>
      </c>
      <c r="B145" s="1" t="s">
        <v>432</v>
      </c>
      <c r="C145" s="1" t="s">
        <v>433</v>
      </c>
      <c r="D145" s="1" t="s">
        <v>685</v>
      </c>
      <c r="E145" s="1" t="s">
        <v>549</v>
      </c>
      <c r="F145" s="1" t="s">
        <v>550</v>
      </c>
      <c r="G145" s="1">
        <v>400</v>
      </c>
    </row>
    <row r="146" spans="1:7" x14ac:dyDescent="0.25">
      <c r="A146" s="1" t="s">
        <v>431</v>
      </c>
      <c r="B146" s="1" t="s">
        <v>432</v>
      </c>
      <c r="C146" s="1" t="s">
        <v>433</v>
      </c>
      <c r="D146" s="1" t="s">
        <v>686</v>
      </c>
      <c r="E146" s="1" t="s">
        <v>555</v>
      </c>
      <c r="F146" s="1" t="s">
        <v>556</v>
      </c>
      <c r="G146" s="1">
        <v>1000</v>
      </c>
    </row>
    <row r="147" spans="1:7" x14ac:dyDescent="0.25">
      <c r="A147" s="1" t="s">
        <v>431</v>
      </c>
      <c r="B147" s="1" t="s">
        <v>432</v>
      </c>
      <c r="C147" s="1" t="s">
        <v>433</v>
      </c>
      <c r="D147" s="1" t="s">
        <v>686</v>
      </c>
      <c r="E147" s="1" t="s">
        <v>555</v>
      </c>
      <c r="F147" s="1" t="s">
        <v>556</v>
      </c>
      <c r="G147" s="1">
        <v>350</v>
      </c>
    </row>
    <row r="148" spans="1:7" x14ac:dyDescent="0.25">
      <c r="A148" s="1" t="s">
        <v>431</v>
      </c>
      <c r="B148" s="1" t="s">
        <v>432</v>
      </c>
      <c r="C148" s="1" t="s">
        <v>433</v>
      </c>
      <c r="D148" s="1" t="s">
        <v>686</v>
      </c>
      <c r="E148" s="1" t="s">
        <v>555</v>
      </c>
      <c r="F148" s="1" t="s">
        <v>556</v>
      </c>
      <c r="G148" s="1">
        <v>350</v>
      </c>
    </row>
    <row r="149" spans="1:7" x14ac:dyDescent="0.25">
      <c r="A149" s="1" t="s">
        <v>431</v>
      </c>
      <c r="B149" s="1" t="s">
        <v>432</v>
      </c>
      <c r="C149" s="1" t="s">
        <v>433</v>
      </c>
      <c r="D149" s="1" t="s">
        <v>553</v>
      </c>
      <c r="E149" s="1" t="s">
        <v>553</v>
      </c>
      <c r="F149" s="1" t="s">
        <v>554</v>
      </c>
      <c r="G149" s="1">
        <v>1407</v>
      </c>
    </row>
    <row r="150" spans="1:7" x14ac:dyDescent="0.25">
      <c r="A150" s="1" t="s">
        <v>431</v>
      </c>
      <c r="B150" s="1" t="s">
        <v>432</v>
      </c>
      <c r="C150" s="1" t="s">
        <v>433</v>
      </c>
      <c r="D150" s="1" t="s">
        <v>557</v>
      </c>
      <c r="E150" s="1" t="s">
        <v>558</v>
      </c>
      <c r="F150" s="1" t="s">
        <v>559</v>
      </c>
      <c r="G150" s="1">
        <v>800</v>
      </c>
    </row>
    <row r="151" spans="1:7" x14ac:dyDescent="0.25">
      <c r="A151" s="1" t="s">
        <v>119</v>
      </c>
      <c r="B151" s="1" t="s">
        <v>77</v>
      </c>
      <c r="C151" s="1" t="s">
        <v>120</v>
      </c>
      <c r="D151" s="1" t="s">
        <v>675</v>
      </c>
      <c r="E151" s="1" t="s">
        <v>590</v>
      </c>
      <c r="F151" s="1" t="s">
        <v>608</v>
      </c>
      <c r="G151" s="1">
        <v>8000</v>
      </c>
    </row>
    <row r="152" spans="1:7" x14ac:dyDescent="0.25">
      <c r="A152" s="1" t="s">
        <v>153</v>
      </c>
      <c r="B152" s="1" t="s">
        <v>150</v>
      </c>
      <c r="C152" s="1" t="s">
        <v>154</v>
      </c>
      <c r="D152" s="1" t="s">
        <v>619</v>
      </c>
      <c r="E152" s="1" t="s">
        <v>565</v>
      </c>
      <c r="F152" s="1" t="s">
        <v>618</v>
      </c>
      <c r="G152" s="1">
        <v>144</v>
      </c>
    </row>
    <row r="153" spans="1:7" x14ac:dyDescent="0.25">
      <c r="A153" s="1" t="s">
        <v>428</v>
      </c>
      <c r="B153" s="1" t="s">
        <v>320</v>
      </c>
      <c r="C153" s="1" t="s">
        <v>429</v>
      </c>
      <c r="D153" s="1" t="s">
        <v>601</v>
      </c>
      <c r="E153" s="1" t="s">
        <v>590</v>
      </c>
      <c r="F153" s="1" t="s">
        <v>591</v>
      </c>
      <c r="G153" s="1">
        <v>3750</v>
      </c>
    </row>
    <row r="154" spans="1:7" x14ac:dyDescent="0.25">
      <c r="A154" s="1" t="s">
        <v>76</v>
      </c>
      <c r="B154" s="1" t="s">
        <v>77</v>
      </c>
      <c r="C154" s="1" t="s">
        <v>78</v>
      </c>
      <c r="D154" s="1" t="s">
        <v>676</v>
      </c>
      <c r="E154" s="1" t="s">
        <v>569</v>
      </c>
      <c r="F154" s="1" t="s">
        <v>570</v>
      </c>
      <c r="G154" s="1">
        <v>650</v>
      </c>
    </row>
    <row r="155" spans="1:7" x14ac:dyDescent="0.25">
      <c r="A155" s="1" t="s">
        <v>76</v>
      </c>
      <c r="B155" s="1" t="s">
        <v>77</v>
      </c>
      <c r="C155" s="1" t="s">
        <v>78</v>
      </c>
      <c r="D155" s="1" t="s">
        <v>676</v>
      </c>
      <c r="E155" s="1" t="s">
        <v>569</v>
      </c>
      <c r="F155" s="1" t="s">
        <v>570</v>
      </c>
      <c r="G155" s="1">
        <v>945</v>
      </c>
    </row>
    <row r="156" spans="1:7" x14ac:dyDescent="0.25">
      <c r="A156" s="1" t="s">
        <v>76</v>
      </c>
      <c r="B156" s="1" t="s">
        <v>77</v>
      </c>
      <c r="C156" s="1" t="s">
        <v>78</v>
      </c>
      <c r="D156" s="1" t="s">
        <v>677</v>
      </c>
      <c r="E156" s="1" t="s">
        <v>558</v>
      </c>
      <c r="F156" s="1" t="s">
        <v>559</v>
      </c>
      <c r="G156" s="1">
        <v>92.95</v>
      </c>
    </row>
    <row r="157" spans="1:7" x14ac:dyDescent="0.25">
      <c r="A157" s="1" t="s">
        <v>76</v>
      </c>
      <c r="B157" s="1" t="s">
        <v>77</v>
      </c>
      <c r="C157" s="1" t="s">
        <v>78</v>
      </c>
      <c r="D157" s="1" t="s">
        <v>678</v>
      </c>
      <c r="E157" s="1" t="s">
        <v>560</v>
      </c>
      <c r="F157" s="1" t="s">
        <v>561</v>
      </c>
      <c r="G157" s="1">
        <v>222</v>
      </c>
    </row>
    <row r="158" spans="1:7" x14ac:dyDescent="0.25">
      <c r="A158" s="1" t="s">
        <v>424</v>
      </c>
      <c r="B158" s="1" t="s">
        <v>425</v>
      </c>
      <c r="C158" s="1" t="s">
        <v>426</v>
      </c>
      <c r="D158" s="1" t="s">
        <v>691</v>
      </c>
      <c r="E158" s="1" t="s">
        <v>571</v>
      </c>
      <c r="F158" s="1" t="s">
        <v>572</v>
      </c>
      <c r="G158" s="1">
        <v>696.1</v>
      </c>
    </row>
    <row r="159" spans="1:7" x14ac:dyDescent="0.25">
      <c r="A159" s="1" t="s">
        <v>420</v>
      </c>
      <c r="B159" s="1" t="s">
        <v>421</v>
      </c>
      <c r="C159" s="1" t="s">
        <v>422</v>
      </c>
      <c r="D159" s="1" t="s">
        <v>719</v>
      </c>
      <c r="E159" s="1" t="s">
        <v>549</v>
      </c>
      <c r="F159" s="1" t="s">
        <v>550</v>
      </c>
      <c r="G159" s="1">
        <v>840</v>
      </c>
    </row>
    <row r="160" spans="1:7" x14ac:dyDescent="0.25">
      <c r="A160" s="1" t="s">
        <v>416</v>
      </c>
      <c r="B160" s="1" t="s">
        <v>417</v>
      </c>
      <c r="C160" s="1" t="s">
        <v>418</v>
      </c>
      <c r="D160" s="1" t="s">
        <v>671</v>
      </c>
      <c r="E160" s="1" t="s">
        <v>549</v>
      </c>
      <c r="F160" s="1" t="s">
        <v>550</v>
      </c>
      <c r="G160" s="1">
        <v>390</v>
      </c>
    </row>
    <row r="161" spans="1:7" x14ac:dyDescent="0.25">
      <c r="A161" s="1" t="s">
        <v>413</v>
      </c>
      <c r="B161" s="1" t="s">
        <v>389</v>
      </c>
      <c r="C161" s="1" t="s">
        <v>414</v>
      </c>
      <c r="D161" s="1" t="s">
        <v>667</v>
      </c>
      <c r="E161" s="1" t="s">
        <v>555</v>
      </c>
      <c r="F161" s="1" t="s">
        <v>556</v>
      </c>
      <c r="G161" s="1">
        <v>1980</v>
      </c>
    </row>
    <row r="162" spans="1:7" x14ac:dyDescent="0.25">
      <c r="A162" s="1" t="s">
        <v>413</v>
      </c>
      <c r="B162" s="1" t="s">
        <v>389</v>
      </c>
      <c r="C162" s="1" t="s">
        <v>414</v>
      </c>
      <c r="D162" s="1" t="s">
        <v>668</v>
      </c>
      <c r="E162" s="1" t="s">
        <v>549</v>
      </c>
      <c r="F162" s="1" t="s">
        <v>550</v>
      </c>
      <c r="G162" s="1">
        <v>693</v>
      </c>
    </row>
    <row r="163" spans="1:7" x14ac:dyDescent="0.25">
      <c r="A163" s="1" t="s">
        <v>404</v>
      </c>
      <c r="B163" s="1" t="s">
        <v>389</v>
      </c>
      <c r="C163" s="1" t="s">
        <v>405</v>
      </c>
      <c r="D163" s="1" t="s">
        <v>669</v>
      </c>
      <c r="E163" s="1" t="s">
        <v>549</v>
      </c>
      <c r="F163" s="1" t="s">
        <v>550</v>
      </c>
      <c r="G163" s="1">
        <v>630</v>
      </c>
    </row>
    <row r="164" spans="1:7" x14ac:dyDescent="0.25">
      <c r="A164" s="1" t="s">
        <v>401</v>
      </c>
      <c r="B164" s="1" t="s">
        <v>385</v>
      </c>
      <c r="C164" s="1" t="s">
        <v>402</v>
      </c>
      <c r="D164" s="1" t="s">
        <v>532</v>
      </c>
      <c r="E164" s="1" t="s">
        <v>560</v>
      </c>
      <c r="F164" s="1" t="s">
        <v>561</v>
      </c>
      <c r="G164" s="1">
        <v>38.950000000000003</v>
      </c>
    </row>
    <row r="165" spans="1:7" x14ac:dyDescent="0.25">
      <c r="A165" s="1" t="s">
        <v>401</v>
      </c>
      <c r="B165" s="1" t="s">
        <v>385</v>
      </c>
      <c r="C165" s="1" t="s">
        <v>402</v>
      </c>
      <c r="D165" s="1" t="s">
        <v>532</v>
      </c>
      <c r="E165" s="1" t="s">
        <v>560</v>
      </c>
      <c r="F165" s="1" t="s">
        <v>561</v>
      </c>
      <c r="G165" s="1">
        <v>19.989999999999998</v>
      </c>
    </row>
    <row r="166" spans="1:7" x14ac:dyDescent="0.25">
      <c r="A166" s="1" t="s">
        <v>401</v>
      </c>
      <c r="B166" s="1" t="s">
        <v>385</v>
      </c>
      <c r="C166" s="1" t="s">
        <v>402</v>
      </c>
      <c r="D166" s="1" t="s">
        <v>532</v>
      </c>
      <c r="E166" s="1" t="s">
        <v>560</v>
      </c>
      <c r="F166" s="1" t="s">
        <v>561</v>
      </c>
      <c r="G166" s="1">
        <v>29.99</v>
      </c>
    </row>
    <row r="167" spans="1:7" x14ac:dyDescent="0.25">
      <c r="A167" s="1" t="s">
        <v>401</v>
      </c>
      <c r="B167" s="1" t="s">
        <v>385</v>
      </c>
      <c r="C167" s="1" t="s">
        <v>402</v>
      </c>
      <c r="D167" s="1" t="s">
        <v>532</v>
      </c>
      <c r="E167" s="1" t="s">
        <v>560</v>
      </c>
      <c r="F167" s="1" t="s">
        <v>561</v>
      </c>
      <c r="G167" s="1">
        <v>20.97</v>
      </c>
    </row>
    <row r="168" spans="1:7" x14ac:dyDescent="0.25">
      <c r="A168" s="1" t="s">
        <v>401</v>
      </c>
      <c r="B168" s="1" t="s">
        <v>385</v>
      </c>
      <c r="C168" s="1" t="s">
        <v>402</v>
      </c>
      <c r="D168" s="1" t="s">
        <v>532</v>
      </c>
      <c r="E168" s="1" t="s">
        <v>560</v>
      </c>
      <c r="F168" s="1" t="s">
        <v>561</v>
      </c>
      <c r="G168" s="1">
        <v>9.77</v>
      </c>
    </row>
    <row r="169" spans="1:7" x14ac:dyDescent="0.25">
      <c r="A169" s="1" t="s">
        <v>398</v>
      </c>
      <c r="B169" s="1" t="s">
        <v>385</v>
      </c>
      <c r="C169" s="1" t="s">
        <v>399</v>
      </c>
      <c r="D169" s="1" t="s">
        <v>399</v>
      </c>
      <c r="E169" s="1" t="s">
        <v>560</v>
      </c>
      <c r="F169" s="1" t="s">
        <v>561</v>
      </c>
      <c r="G169" s="1">
        <v>87.4</v>
      </c>
    </row>
    <row r="170" spans="1:7" x14ac:dyDescent="0.25">
      <c r="A170" s="1" t="s">
        <v>398</v>
      </c>
      <c r="B170" s="1" t="s">
        <v>385</v>
      </c>
      <c r="C170" s="1" t="s">
        <v>399</v>
      </c>
      <c r="D170" s="1" t="s">
        <v>399</v>
      </c>
      <c r="E170" s="1" t="s">
        <v>560</v>
      </c>
      <c r="F170" s="1" t="s">
        <v>561</v>
      </c>
      <c r="G170" s="1">
        <v>24.96</v>
      </c>
    </row>
    <row r="171" spans="1:7" x14ac:dyDescent="0.25">
      <c r="A171" s="1" t="s">
        <v>395</v>
      </c>
      <c r="B171" s="1" t="s">
        <v>301</v>
      </c>
      <c r="C171" s="1" t="s">
        <v>396</v>
      </c>
      <c r="D171" s="1" t="s">
        <v>622</v>
      </c>
      <c r="E171" s="1" t="s">
        <v>571</v>
      </c>
      <c r="F171" s="1" t="s">
        <v>572</v>
      </c>
      <c r="G171" s="1">
        <v>1789.2</v>
      </c>
    </row>
    <row r="172" spans="1:7" x14ac:dyDescent="0.25">
      <c r="A172" s="1" t="s">
        <v>392</v>
      </c>
      <c r="B172" s="1" t="s">
        <v>385</v>
      </c>
      <c r="C172" s="1" t="s">
        <v>393</v>
      </c>
      <c r="D172" s="1" t="s">
        <v>393</v>
      </c>
      <c r="E172" s="1" t="s">
        <v>560</v>
      </c>
      <c r="F172" s="1" t="s">
        <v>561</v>
      </c>
      <c r="G172" s="1">
        <v>59.99</v>
      </c>
    </row>
    <row r="173" spans="1:7" x14ac:dyDescent="0.25">
      <c r="A173" s="1" t="s">
        <v>392</v>
      </c>
      <c r="B173" s="1" t="s">
        <v>385</v>
      </c>
      <c r="C173" s="1" t="s">
        <v>393</v>
      </c>
      <c r="D173" s="1" t="s">
        <v>393</v>
      </c>
      <c r="E173" s="1" t="s">
        <v>560</v>
      </c>
      <c r="F173" s="1" t="s">
        <v>561</v>
      </c>
      <c r="G173" s="1">
        <v>23.99</v>
      </c>
    </row>
    <row r="174" spans="1:7" x14ac:dyDescent="0.25">
      <c r="A174" s="1" t="s">
        <v>392</v>
      </c>
      <c r="B174" s="1" t="s">
        <v>385</v>
      </c>
      <c r="C174" s="1" t="s">
        <v>393</v>
      </c>
      <c r="D174" s="1" t="s">
        <v>393</v>
      </c>
      <c r="E174" s="1" t="s">
        <v>560</v>
      </c>
      <c r="F174" s="1" t="s">
        <v>561</v>
      </c>
      <c r="G174" s="1">
        <v>14.99</v>
      </c>
    </row>
    <row r="175" spans="1:7" x14ac:dyDescent="0.25">
      <c r="A175" s="1" t="s">
        <v>388</v>
      </c>
      <c r="B175" s="1" t="s">
        <v>389</v>
      </c>
      <c r="C175" s="1" t="s">
        <v>390</v>
      </c>
      <c r="D175" s="1" t="s">
        <v>670</v>
      </c>
      <c r="E175" s="1" t="s">
        <v>565</v>
      </c>
      <c r="F175" s="1" t="s">
        <v>566</v>
      </c>
      <c r="G175" s="1">
        <v>3000</v>
      </c>
    </row>
    <row r="176" spans="1:7" x14ac:dyDescent="0.25">
      <c r="A176" s="1" t="s">
        <v>384</v>
      </c>
      <c r="B176" s="1" t="s">
        <v>385</v>
      </c>
      <c r="C176" s="1" t="s">
        <v>386</v>
      </c>
      <c r="D176" s="1" t="s">
        <v>386</v>
      </c>
      <c r="E176" s="1" t="s">
        <v>560</v>
      </c>
      <c r="F176" s="1" t="s">
        <v>561</v>
      </c>
      <c r="G176" s="1">
        <v>224.75</v>
      </c>
    </row>
    <row r="177" spans="1:7" x14ac:dyDescent="0.25">
      <c r="A177" s="1" t="s">
        <v>258</v>
      </c>
      <c r="B177" s="1" t="s">
        <v>251</v>
      </c>
      <c r="C177" s="1" t="s">
        <v>259</v>
      </c>
      <c r="D177" s="1" t="s">
        <v>597</v>
      </c>
      <c r="E177" s="1" t="s">
        <v>547</v>
      </c>
      <c r="F177" s="1" t="s">
        <v>98</v>
      </c>
      <c r="G177" s="1">
        <v>420.4</v>
      </c>
    </row>
    <row r="178" spans="1:7" x14ac:dyDescent="0.25">
      <c r="A178" s="1" t="s">
        <v>258</v>
      </c>
      <c r="B178" s="1" t="s">
        <v>251</v>
      </c>
      <c r="C178" s="1" t="s">
        <v>259</v>
      </c>
      <c r="D178" s="1" t="s">
        <v>598</v>
      </c>
      <c r="E178" s="1" t="s">
        <v>571</v>
      </c>
      <c r="F178" s="1" t="s">
        <v>572</v>
      </c>
      <c r="G178" s="1">
        <v>420.4</v>
      </c>
    </row>
    <row r="179" spans="1:7" x14ac:dyDescent="0.25">
      <c r="A179" s="1" t="s">
        <v>370</v>
      </c>
      <c r="B179" s="1" t="s">
        <v>301</v>
      </c>
      <c r="C179" s="1" t="s">
        <v>371</v>
      </c>
      <c r="D179" s="1" t="s">
        <v>611</v>
      </c>
      <c r="E179" s="1" t="s">
        <v>571</v>
      </c>
      <c r="F179" s="1" t="s">
        <v>572</v>
      </c>
      <c r="G179" s="1">
        <v>500.4</v>
      </c>
    </row>
    <row r="180" spans="1:7" x14ac:dyDescent="0.25">
      <c r="A180" s="1" t="s">
        <v>250</v>
      </c>
      <c r="B180" s="1" t="s">
        <v>251</v>
      </c>
      <c r="C180" s="1" t="s">
        <v>252</v>
      </c>
      <c r="D180" s="1" t="s">
        <v>252</v>
      </c>
      <c r="E180" s="1" t="s">
        <v>661</v>
      </c>
      <c r="F180" s="1" t="s">
        <v>98</v>
      </c>
      <c r="G180" s="1">
        <v>1705</v>
      </c>
    </row>
    <row r="181" spans="1:7" x14ac:dyDescent="0.25">
      <c r="A181" s="1" t="s">
        <v>250</v>
      </c>
      <c r="B181" s="1" t="s">
        <v>251</v>
      </c>
      <c r="C181" s="1" t="s">
        <v>252</v>
      </c>
      <c r="D181" s="1" t="s">
        <v>680</v>
      </c>
      <c r="E181" s="1" t="s">
        <v>549</v>
      </c>
      <c r="F181" s="1" t="s">
        <v>550</v>
      </c>
      <c r="G181" s="1">
        <v>1705</v>
      </c>
    </row>
    <row r="182" spans="1:7" x14ac:dyDescent="0.25">
      <c r="A182" s="1" t="s">
        <v>348</v>
      </c>
      <c r="B182" s="1" t="s">
        <v>53</v>
      </c>
      <c r="C182" s="1" t="s">
        <v>349</v>
      </c>
      <c r="D182" s="1" t="s">
        <v>616</v>
      </c>
      <c r="E182" s="1" t="s">
        <v>555</v>
      </c>
      <c r="F182" s="1" t="s">
        <v>556</v>
      </c>
      <c r="G182" s="1">
        <v>1500</v>
      </c>
    </row>
    <row r="183" spans="1:7" x14ac:dyDescent="0.25">
      <c r="A183" s="1" t="s">
        <v>344</v>
      </c>
      <c r="B183" s="1" t="s">
        <v>345</v>
      </c>
      <c r="C183" s="1" t="s">
        <v>346</v>
      </c>
      <c r="D183" s="1" t="s">
        <v>679</v>
      </c>
      <c r="E183" s="1" t="s">
        <v>549</v>
      </c>
      <c r="F183" s="1" t="s">
        <v>550</v>
      </c>
      <c r="G183" s="1">
        <v>34</v>
      </c>
    </row>
    <row r="184" spans="1:7" x14ac:dyDescent="0.25">
      <c r="A184" s="1" t="s">
        <v>341</v>
      </c>
      <c r="B184" s="1" t="s">
        <v>290</v>
      </c>
      <c r="C184" s="1" t="s">
        <v>342</v>
      </c>
      <c r="D184" s="1" t="s">
        <v>594</v>
      </c>
      <c r="E184" s="1" t="s">
        <v>551</v>
      </c>
      <c r="F184" s="1" t="s">
        <v>552</v>
      </c>
      <c r="G184" s="1">
        <v>7600</v>
      </c>
    </row>
    <row r="185" spans="1:7" x14ac:dyDescent="0.25">
      <c r="A185" s="1" t="s">
        <v>341</v>
      </c>
      <c r="B185" s="1" t="s">
        <v>290</v>
      </c>
      <c r="C185" s="1" t="s">
        <v>342</v>
      </c>
      <c r="D185" s="1" t="s">
        <v>595</v>
      </c>
      <c r="E185" s="1" t="s">
        <v>549</v>
      </c>
      <c r="F185" s="1" t="s">
        <v>550</v>
      </c>
      <c r="G185" s="1">
        <v>410</v>
      </c>
    </row>
    <row r="186" spans="1:7" x14ac:dyDescent="0.25">
      <c r="A186" s="1" t="s">
        <v>293</v>
      </c>
      <c r="B186" s="1" t="s">
        <v>294</v>
      </c>
      <c r="C186" s="1" t="s">
        <v>295</v>
      </c>
      <c r="D186" s="1" t="s">
        <v>584</v>
      </c>
      <c r="E186" s="1" t="s">
        <v>579</v>
      </c>
      <c r="F186" s="1" t="s">
        <v>580</v>
      </c>
      <c r="G186" s="1">
        <v>324</v>
      </c>
    </row>
    <row r="187" spans="1:7" x14ac:dyDescent="0.25">
      <c r="A187" s="1" t="s">
        <v>338</v>
      </c>
      <c r="B187" s="1" t="s">
        <v>53</v>
      </c>
      <c r="C187" s="1" t="s">
        <v>339</v>
      </c>
      <c r="D187" s="1" t="s">
        <v>617</v>
      </c>
      <c r="E187" s="1" t="s">
        <v>590</v>
      </c>
      <c r="F187" s="1" t="s">
        <v>591</v>
      </c>
      <c r="G187" s="1">
        <v>1500</v>
      </c>
    </row>
    <row r="188" spans="1:7" x14ac:dyDescent="0.25">
      <c r="A188" s="1" t="s">
        <v>242</v>
      </c>
      <c r="B188" s="1" t="s">
        <v>243</v>
      </c>
      <c r="C188" s="1" t="s">
        <v>244</v>
      </c>
      <c r="D188" s="1" t="s">
        <v>549</v>
      </c>
      <c r="E188" s="1" t="s">
        <v>549</v>
      </c>
      <c r="F188" s="1" t="s">
        <v>550</v>
      </c>
      <c r="G188" s="1">
        <v>3300</v>
      </c>
    </row>
    <row r="189" spans="1:7" x14ac:dyDescent="0.25">
      <c r="A189" s="1" t="s">
        <v>242</v>
      </c>
      <c r="B189" s="1" t="s">
        <v>243</v>
      </c>
      <c r="C189" s="1" t="s">
        <v>244</v>
      </c>
      <c r="D189" s="1" t="s">
        <v>579</v>
      </c>
      <c r="E189" s="1" t="s">
        <v>579</v>
      </c>
      <c r="F189" s="1" t="s">
        <v>580</v>
      </c>
      <c r="G189" s="1">
        <v>600</v>
      </c>
    </row>
    <row r="190" spans="1:7" x14ac:dyDescent="0.25">
      <c r="A190" s="1" t="s">
        <v>242</v>
      </c>
      <c r="B190" s="1" t="s">
        <v>243</v>
      </c>
      <c r="C190" s="1" t="s">
        <v>244</v>
      </c>
      <c r="D190" s="1" t="s">
        <v>579</v>
      </c>
      <c r="E190" s="1" t="s">
        <v>579</v>
      </c>
      <c r="F190" s="1" t="s">
        <v>580</v>
      </c>
      <c r="G190" s="1">
        <v>399.2</v>
      </c>
    </row>
    <row r="191" spans="1:7" x14ac:dyDescent="0.25">
      <c r="A191" s="1" t="s">
        <v>297</v>
      </c>
      <c r="B191" s="1" t="s">
        <v>294</v>
      </c>
      <c r="C191" s="1" t="s">
        <v>298</v>
      </c>
      <c r="D191" s="1" t="s">
        <v>586</v>
      </c>
      <c r="E191" s="1" t="s">
        <v>560</v>
      </c>
      <c r="F191" s="1" t="s">
        <v>561</v>
      </c>
      <c r="G191" s="1">
        <v>585.63</v>
      </c>
    </row>
    <row r="192" spans="1:7" x14ac:dyDescent="0.25">
      <c r="A192" s="1" t="s">
        <v>334</v>
      </c>
      <c r="B192" s="1" t="s">
        <v>335</v>
      </c>
      <c r="C192" s="1" t="s">
        <v>336</v>
      </c>
      <c r="D192" s="1" t="s">
        <v>655</v>
      </c>
      <c r="E192" s="1" t="s">
        <v>555</v>
      </c>
      <c r="F192" s="1" t="s">
        <v>556</v>
      </c>
      <c r="G192" s="1">
        <v>2050</v>
      </c>
    </row>
    <row r="193" spans="1:7" x14ac:dyDescent="0.25">
      <c r="A193" s="1" t="s">
        <v>334</v>
      </c>
      <c r="B193" s="1" t="s">
        <v>335</v>
      </c>
      <c r="C193" s="1" t="s">
        <v>336</v>
      </c>
      <c r="D193" s="1" t="s">
        <v>609</v>
      </c>
      <c r="E193" s="1" t="s">
        <v>549</v>
      </c>
      <c r="F193" s="1" t="s">
        <v>550</v>
      </c>
      <c r="G193" s="1">
        <v>255</v>
      </c>
    </row>
    <row r="194" spans="1:7" x14ac:dyDescent="0.25">
      <c r="A194" s="1" t="s">
        <v>261</v>
      </c>
      <c r="B194" s="1" t="s">
        <v>262</v>
      </c>
      <c r="C194" s="1" t="s">
        <v>263</v>
      </c>
      <c r="D194" s="1" t="s">
        <v>263</v>
      </c>
      <c r="E194" s="1" t="s">
        <v>555</v>
      </c>
      <c r="F194" s="1" t="s">
        <v>556</v>
      </c>
      <c r="G194" s="1">
        <v>3455</v>
      </c>
    </row>
    <row r="195" spans="1:7" x14ac:dyDescent="0.25">
      <c r="A195" s="1" t="s">
        <v>286</v>
      </c>
      <c r="B195" s="1" t="s">
        <v>235</v>
      </c>
      <c r="C195" s="1" t="s">
        <v>287</v>
      </c>
      <c r="D195" s="1" t="s">
        <v>689</v>
      </c>
      <c r="E195" s="1" t="s">
        <v>549</v>
      </c>
      <c r="F195" s="1" t="s">
        <v>550</v>
      </c>
      <c r="G195" s="1">
        <v>598.5</v>
      </c>
    </row>
    <row r="196" spans="1:7" x14ac:dyDescent="0.25">
      <c r="A196" s="1" t="s">
        <v>207</v>
      </c>
      <c r="B196" s="1" t="s">
        <v>208</v>
      </c>
      <c r="C196" s="1" t="s">
        <v>209</v>
      </c>
      <c r="D196" s="1" t="s">
        <v>728</v>
      </c>
      <c r="E196" s="1" t="s">
        <v>560</v>
      </c>
      <c r="F196" s="1" t="s">
        <v>561</v>
      </c>
      <c r="G196" s="1">
        <v>193.44</v>
      </c>
    </row>
    <row r="197" spans="1:7" x14ac:dyDescent="0.25">
      <c r="A197" s="1" t="s">
        <v>207</v>
      </c>
      <c r="B197" s="1" t="s">
        <v>208</v>
      </c>
      <c r="C197" s="1" t="s">
        <v>209</v>
      </c>
      <c r="D197" s="1" t="s">
        <v>728</v>
      </c>
      <c r="E197" s="1" t="s">
        <v>560</v>
      </c>
      <c r="F197" s="1" t="s">
        <v>561</v>
      </c>
      <c r="G197" s="1">
        <v>94.99</v>
      </c>
    </row>
    <row r="198" spans="1:7" x14ac:dyDescent="0.25">
      <c r="A198" s="1" t="s">
        <v>207</v>
      </c>
      <c r="B198" s="1" t="s">
        <v>208</v>
      </c>
      <c r="C198" s="1" t="s">
        <v>209</v>
      </c>
      <c r="D198" s="1" t="s">
        <v>729</v>
      </c>
      <c r="E198" s="1" t="s">
        <v>560</v>
      </c>
      <c r="F198" s="1" t="s">
        <v>561</v>
      </c>
      <c r="G198" s="1">
        <v>150</v>
      </c>
    </row>
    <row r="199" spans="1:7" x14ac:dyDescent="0.25">
      <c r="A199" s="1" t="s">
        <v>207</v>
      </c>
      <c r="B199" s="1" t="s">
        <v>208</v>
      </c>
      <c r="C199" s="1" t="s">
        <v>209</v>
      </c>
      <c r="D199" s="1" t="s">
        <v>729</v>
      </c>
      <c r="E199" s="1" t="s">
        <v>560</v>
      </c>
      <c r="F199" s="1" t="s">
        <v>561</v>
      </c>
      <c r="G199" s="1">
        <v>104.85</v>
      </c>
    </row>
    <row r="200" spans="1:7" x14ac:dyDescent="0.25">
      <c r="A200" s="1" t="s">
        <v>207</v>
      </c>
      <c r="B200" s="1" t="s">
        <v>208</v>
      </c>
      <c r="C200" s="1" t="s">
        <v>209</v>
      </c>
      <c r="D200" s="1" t="s">
        <v>729</v>
      </c>
      <c r="E200" s="1" t="s">
        <v>560</v>
      </c>
      <c r="F200" s="1" t="s">
        <v>561</v>
      </c>
      <c r="G200" s="1">
        <v>20.97</v>
      </c>
    </row>
    <row r="201" spans="1:7" x14ac:dyDescent="0.25">
      <c r="A201" s="1" t="s">
        <v>129</v>
      </c>
      <c r="B201" s="1" t="s">
        <v>130</v>
      </c>
      <c r="C201" s="1" t="s">
        <v>131</v>
      </c>
      <c r="D201" s="1" t="s">
        <v>549</v>
      </c>
      <c r="E201" s="1" t="s">
        <v>549</v>
      </c>
      <c r="F201" s="1" t="s">
        <v>550</v>
      </c>
      <c r="G201" s="1">
        <v>400</v>
      </c>
    </row>
    <row r="202" spans="1:7" x14ac:dyDescent="0.25">
      <c r="A202" s="1" t="s">
        <v>129</v>
      </c>
      <c r="B202" s="1" t="s">
        <v>130</v>
      </c>
      <c r="C202" s="1" t="s">
        <v>131</v>
      </c>
      <c r="D202" s="1" t="s">
        <v>549</v>
      </c>
      <c r="E202" s="1" t="s">
        <v>549</v>
      </c>
      <c r="F202" s="1" t="s">
        <v>550</v>
      </c>
      <c r="G202" s="1">
        <v>400</v>
      </c>
    </row>
    <row r="203" spans="1:7" x14ac:dyDescent="0.25">
      <c r="A203" s="1" t="s">
        <v>129</v>
      </c>
      <c r="B203" s="1" t="s">
        <v>130</v>
      </c>
      <c r="C203" s="1" t="s">
        <v>131</v>
      </c>
      <c r="D203" s="1" t="s">
        <v>549</v>
      </c>
      <c r="E203" s="1" t="s">
        <v>549</v>
      </c>
      <c r="F203" s="1" t="s">
        <v>550</v>
      </c>
      <c r="G203" s="1">
        <v>400</v>
      </c>
    </row>
    <row r="204" spans="1:7" x14ac:dyDescent="0.25">
      <c r="A204" s="1" t="s">
        <v>129</v>
      </c>
      <c r="B204" s="1" t="s">
        <v>130</v>
      </c>
      <c r="C204" s="1" t="s">
        <v>131</v>
      </c>
      <c r="D204" s="1" t="s">
        <v>549</v>
      </c>
      <c r="E204" s="1" t="s">
        <v>549</v>
      </c>
      <c r="F204" s="1" t="s">
        <v>550</v>
      </c>
      <c r="G204" s="1">
        <v>1900</v>
      </c>
    </row>
    <row r="205" spans="1:7" x14ac:dyDescent="0.25">
      <c r="A205" s="1" t="s">
        <v>129</v>
      </c>
      <c r="B205" s="1" t="s">
        <v>130</v>
      </c>
      <c r="C205" s="1" t="s">
        <v>131</v>
      </c>
      <c r="D205" s="1" t="s">
        <v>555</v>
      </c>
      <c r="E205" s="1" t="s">
        <v>555</v>
      </c>
      <c r="F205" s="1" t="s">
        <v>556</v>
      </c>
      <c r="G205" s="1">
        <v>1500</v>
      </c>
    </row>
    <row r="206" spans="1:7" x14ac:dyDescent="0.25">
      <c r="A206" s="1" t="s">
        <v>129</v>
      </c>
      <c r="B206" s="1" t="s">
        <v>130</v>
      </c>
      <c r="C206" s="1" t="s">
        <v>131</v>
      </c>
      <c r="D206" s="1" t="s">
        <v>555</v>
      </c>
      <c r="E206" s="1" t="s">
        <v>555</v>
      </c>
      <c r="F206" s="1" t="s">
        <v>556</v>
      </c>
      <c r="G206" s="1">
        <v>250</v>
      </c>
    </row>
    <row r="207" spans="1:7" x14ac:dyDescent="0.25">
      <c r="A207" s="1" t="s">
        <v>129</v>
      </c>
      <c r="B207" s="1" t="s">
        <v>130</v>
      </c>
      <c r="C207" s="1" t="s">
        <v>131</v>
      </c>
      <c r="D207" s="1" t="s">
        <v>555</v>
      </c>
      <c r="E207" s="1" t="s">
        <v>555</v>
      </c>
      <c r="F207" s="1" t="s">
        <v>556</v>
      </c>
      <c r="G207" s="1">
        <v>350</v>
      </c>
    </row>
    <row r="208" spans="1:7" x14ac:dyDescent="0.25">
      <c r="A208" s="1" t="s">
        <v>129</v>
      </c>
      <c r="B208" s="1" t="s">
        <v>130</v>
      </c>
      <c r="C208" s="1" t="s">
        <v>131</v>
      </c>
      <c r="D208" s="1" t="s">
        <v>549</v>
      </c>
      <c r="E208" s="1" t="s">
        <v>549</v>
      </c>
      <c r="F208" s="1" t="s">
        <v>550</v>
      </c>
      <c r="G208" s="1">
        <v>1250</v>
      </c>
    </row>
    <row r="209" spans="1:7" x14ac:dyDescent="0.25">
      <c r="A209" s="1" t="s">
        <v>129</v>
      </c>
      <c r="B209" s="1" t="s">
        <v>130</v>
      </c>
      <c r="C209" s="1" t="s">
        <v>131</v>
      </c>
      <c r="D209" s="1" t="s">
        <v>569</v>
      </c>
      <c r="E209" s="1" t="s">
        <v>569</v>
      </c>
      <c r="F209" s="1" t="s">
        <v>570</v>
      </c>
      <c r="G209" s="1">
        <v>153.69999999999999</v>
      </c>
    </row>
    <row r="210" spans="1:7" x14ac:dyDescent="0.25">
      <c r="A210" s="1" t="s">
        <v>129</v>
      </c>
      <c r="B210" s="1" t="s">
        <v>130</v>
      </c>
      <c r="C210" s="1" t="s">
        <v>131</v>
      </c>
      <c r="D210" s="1" t="s">
        <v>569</v>
      </c>
      <c r="E210" s="1" t="s">
        <v>569</v>
      </c>
      <c r="F210" s="1" t="s">
        <v>570</v>
      </c>
      <c r="G210" s="1">
        <v>429.3</v>
      </c>
    </row>
    <row r="211" spans="1:7" x14ac:dyDescent="0.25">
      <c r="A211" s="1" t="s">
        <v>129</v>
      </c>
      <c r="B211" s="1" t="s">
        <v>130</v>
      </c>
      <c r="C211" s="1" t="s">
        <v>131</v>
      </c>
      <c r="D211" s="1" t="s">
        <v>705</v>
      </c>
      <c r="E211" s="1" t="s">
        <v>590</v>
      </c>
      <c r="F211" s="1" t="s">
        <v>608</v>
      </c>
      <c r="G211" s="1">
        <v>600</v>
      </c>
    </row>
    <row r="212" spans="1:7" x14ac:dyDescent="0.25">
      <c r="A212" s="1" t="s">
        <v>129</v>
      </c>
      <c r="B212" s="1" t="s">
        <v>130</v>
      </c>
      <c r="C212" s="1" t="s">
        <v>131</v>
      </c>
      <c r="D212" s="1" t="s">
        <v>705</v>
      </c>
      <c r="E212" s="1" t="s">
        <v>590</v>
      </c>
      <c r="F212" s="1" t="s">
        <v>608</v>
      </c>
      <c r="G212" s="1">
        <v>118.8</v>
      </c>
    </row>
    <row r="213" spans="1:7" x14ac:dyDescent="0.25">
      <c r="A213" s="1" t="s">
        <v>129</v>
      </c>
      <c r="B213" s="1" t="s">
        <v>130</v>
      </c>
      <c r="C213" s="1" t="s">
        <v>131</v>
      </c>
      <c r="D213" s="1" t="s">
        <v>579</v>
      </c>
      <c r="E213" s="1" t="s">
        <v>579</v>
      </c>
      <c r="F213" s="1" t="s">
        <v>580</v>
      </c>
      <c r="G213" s="1">
        <v>744.6</v>
      </c>
    </row>
    <row r="214" spans="1:7" x14ac:dyDescent="0.25">
      <c r="A214" s="1" t="s">
        <v>129</v>
      </c>
      <c r="B214" s="1" t="s">
        <v>130</v>
      </c>
      <c r="C214" s="1" t="s">
        <v>131</v>
      </c>
      <c r="D214" s="1" t="s">
        <v>579</v>
      </c>
      <c r="E214" s="1" t="s">
        <v>579</v>
      </c>
      <c r="F214" s="1" t="s">
        <v>580</v>
      </c>
      <c r="G214" s="1">
        <v>530.5</v>
      </c>
    </row>
    <row r="215" spans="1:7" x14ac:dyDescent="0.25">
      <c r="A215" s="1" t="s">
        <v>129</v>
      </c>
      <c r="B215" s="1" t="s">
        <v>130</v>
      </c>
      <c r="C215" s="1" t="s">
        <v>131</v>
      </c>
      <c r="D215" s="1" t="s">
        <v>549</v>
      </c>
      <c r="E215" s="1" t="s">
        <v>549</v>
      </c>
      <c r="F215" s="1" t="s">
        <v>550</v>
      </c>
      <c r="G215" s="1">
        <v>950</v>
      </c>
    </row>
    <row r="216" spans="1:7" x14ac:dyDescent="0.25">
      <c r="A216" s="1" t="s">
        <v>129</v>
      </c>
      <c r="B216" s="1" t="s">
        <v>130</v>
      </c>
      <c r="C216" s="1" t="s">
        <v>131</v>
      </c>
      <c r="D216" s="1" t="s">
        <v>706</v>
      </c>
      <c r="E216" s="1" t="s">
        <v>555</v>
      </c>
      <c r="F216" s="1" t="s">
        <v>556</v>
      </c>
      <c r="G216" s="1">
        <v>1500</v>
      </c>
    </row>
    <row r="217" spans="1:7" x14ac:dyDescent="0.25">
      <c r="A217" s="1" t="s">
        <v>129</v>
      </c>
      <c r="B217" s="1" t="s">
        <v>130</v>
      </c>
      <c r="C217" s="1" t="s">
        <v>131</v>
      </c>
      <c r="D217" s="1" t="s">
        <v>707</v>
      </c>
      <c r="E217" s="1" t="s">
        <v>560</v>
      </c>
      <c r="F217" s="1" t="s">
        <v>561</v>
      </c>
      <c r="G217" s="1">
        <v>19.98</v>
      </c>
    </row>
    <row r="218" spans="1:7" x14ac:dyDescent="0.25">
      <c r="A218" s="1" t="s">
        <v>129</v>
      </c>
      <c r="B218" s="1" t="s">
        <v>130</v>
      </c>
      <c r="C218" s="1" t="s">
        <v>131</v>
      </c>
      <c r="D218" s="1" t="s">
        <v>707</v>
      </c>
      <c r="E218" s="1" t="s">
        <v>560</v>
      </c>
      <c r="F218" s="1" t="s">
        <v>561</v>
      </c>
      <c r="G218" s="1">
        <v>125.97</v>
      </c>
    </row>
    <row r="219" spans="1:7" x14ac:dyDescent="0.25">
      <c r="A219" s="1" t="s">
        <v>129</v>
      </c>
      <c r="B219" s="1" t="s">
        <v>130</v>
      </c>
      <c r="C219" s="1" t="s">
        <v>131</v>
      </c>
      <c r="D219" s="1" t="s">
        <v>707</v>
      </c>
      <c r="E219" s="1" t="s">
        <v>560</v>
      </c>
      <c r="F219" s="1" t="s">
        <v>561</v>
      </c>
      <c r="G219" s="1">
        <v>98.99</v>
      </c>
    </row>
    <row r="220" spans="1:7" x14ac:dyDescent="0.25">
      <c r="A220" s="1" t="s">
        <v>129</v>
      </c>
      <c r="B220" s="1" t="s">
        <v>130</v>
      </c>
      <c r="C220" s="1" t="s">
        <v>131</v>
      </c>
      <c r="D220" s="1" t="s">
        <v>707</v>
      </c>
      <c r="E220" s="1" t="s">
        <v>560</v>
      </c>
      <c r="F220" s="1" t="s">
        <v>561</v>
      </c>
      <c r="G220" s="1">
        <v>89.98</v>
      </c>
    </row>
    <row r="221" spans="1:7" x14ac:dyDescent="0.25">
      <c r="A221" s="1" t="s">
        <v>129</v>
      </c>
      <c r="B221" s="1" t="s">
        <v>130</v>
      </c>
      <c r="C221" s="1" t="s">
        <v>131</v>
      </c>
      <c r="D221" s="1" t="s">
        <v>707</v>
      </c>
      <c r="E221" s="1" t="s">
        <v>560</v>
      </c>
      <c r="F221" s="1" t="s">
        <v>561</v>
      </c>
      <c r="G221" s="1">
        <v>50.97</v>
      </c>
    </row>
    <row r="222" spans="1:7" x14ac:dyDescent="0.25">
      <c r="A222" s="1" t="s">
        <v>129</v>
      </c>
      <c r="B222" s="1" t="s">
        <v>130</v>
      </c>
      <c r="C222" s="1" t="s">
        <v>131</v>
      </c>
      <c r="D222" s="1" t="s">
        <v>707</v>
      </c>
      <c r="E222" s="1" t="s">
        <v>560</v>
      </c>
      <c r="F222" s="1" t="s">
        <v>561</v>
      </c>
      <c r="G222" s="1">
        <v>17.989999999999998</v>
      </c>
    </row>
    <row r="223" spans="1:7" x14ac:dyDescent="0.25">
      <c r="A223" s="1" t="s">
        <v>129</v>
      </c>
      <c r="B223" s="1" t="s">
        <v>130</v>
      </c>
      <c r="C223" s="1" t="s">
        <v>131</v>
      </c>
      <c r="D223" s="1" t="s">
        <v>707</v>
      </c>
      <c r="E223" s="1" t="s">
        <v>560</v>
      </c>
      <c r="F223" s="1" t="s">
        <v>561</v>
      </c>
      <c r="G223" s="1">
        <v>44.94</v>
      </c>
    </row>
    <row r="224" spans="1:7" x14ac:dyDescent="0.25">
      <c r="A224" s="1" t="s">
        <v>129</v>
      </c>
      <c r="B224" s="1" t="s">
        <v>130</v>
      </c>
      <c r="C224" s="1" t="s">
        <v>131</v>
      </c>
      <c r="D224" s="1" t="s">
        <v>707</v>
      </c>
      <c r="E224" s="1" t="s">
        <v>560</v>
      </c>
      <c r="F224" s="1" t="s">
        <v>561</v>
      </c>
      <c r="G224" s="1">
        <v>7.49</v>
      </c>
    </row>
    <row r="225" spans="1:7" x14ac:dyDescent="0.25">
      <c r="A225" s="1" t="s">
        <v>129</v>
      </c>
      <c r="B225" s="1" t="s">
        <v>130</v>
      </c>
      <c r="C225" s="1" t="s">
        <v>131</v>
      </c>
      <c r="D225" s="1" t="s">
        <v>707</v>
      </c>
      <c r="E225" s="1" t="s">
        <v>560</v>
      </c>
      <c r="F225" s="1" t="s">
        <v>561</v>
      </c>
      <c r="G225" s="1">
        <v>199.8</v>
      </c>
    </row>
    <row r="226" spans="1:7" x14ac:dyDescent="0.25">
      <c r="A226" s="1" t="s">
        <v>129</v>
      </c>
      <c r="B226" s="1" t="s">
        <v>130</v>
      </c>
      <c r="C226" s="1" t="s">
        <v>131</v>
      </c>
      <c r="D226" s="1" t="s">
        <v>707</v>
      </c>
      <c r="E226" s="1" t="s">
        <v>560</v>
      </c>
      <c r="F226" s="1" t="s">
        <v>561</v>
      </c>
      <c r="G226" s="1">
        <v>9.99</v>
      </c>
    </row>
    <row r="227" spans="1:7" x14ac:dyDescent="0.25">
      <c r="A227" s="1" t="s">
        <v>129</v>
      </c>
      <c r="B227" s="1" t="s">
        <v>130</v>
      </c>
      <c r="C227" s="1" t="s">
        <v>131</v>
      </c>
      <c r="D227" s="1" t="s">
        <v>707</v>
      </c>
      <c r="E227" s="1" t="s">
        <v>560</v>
      </c>
      <c r="F227" s="1" t="s">
        <v>561</v>
      </c>
      <c r="G227" s="1">
        <v>99.8</v>
      </c>
    </row>
    <row r="228" spans="1:7" x14ac:dyDescent="0.25">
      <c r="A228" s="1" t="s">
        <v>129</v>
      </c>
      <c r="B228" s="1" t="s">
        <v>130</v>
      </c>
      <c r="C228" s="1" t="s">
        <v>131</v>
      </c>
      <c r="D228" s="1" t="s">
        <v>707</v>
      </c>
      <c r="E228" s="1" t="s">
        <v>560</v>
      </c>
      <c r="F228" s="1" t="s">
        <v>561</v>
      </c>
      <c r="G228" s="1">
        <v>129.9</v>
      </c>
    </row>
    <row r="229" spans="1:7" x14ac:dyDescent="0.25">
      <c r="A229" s="1" t="s">
        <v>129</v>
      </c>
      <c r="B229" s="1" t="s">
        <v>130</v>
      </c>
      <c r="C229" s="1" t="s">
        <v>131</v>
      </c>
      <c r="D229" s="1" t="s">
        <v>708</v>
      </c>
      <c r="E229" s="1" t="s">
        <v>560</v>
      </c>
      <c r="F229" s="1" t="s">
        <v>561</v>
      </c>
      <c r="G229" s="1">
        <v>403</v>
      </c>
    </row>
    <row r="230" spans="1:7" x14ac:dyDescent="0.25">
      <c r="A230" s="1" t="s">
        <v>129</v>
      </c>
      <c r="B230" s="1" t="s">
        <v>130</v>
      </c>
      <c r="C230" s="1" t="s">
        <v>131</v>
      </c>
      <c r="D230" s="1" t="s">
        <v>708</v>
      </c>
      <c r="E230" s="1" t="s">
        <v>560</v>
      </c>
      <c r="F230" s="1" t="s">
        <v>561</v>
      </c>
      <c r="G230" s="1">
        <v>239.96</v>
      </c>
    </row>
    <row r="231" spans="1:7" x14ac:dyDescent="0.25">
      <c r="A231" s="1" t="s">
        <v>129</v>
      </c>
      <c r="B231" s="1" t="s">
        <v>130</v>
      </c>
      <c r="C231" s="1" t="s">
        <v>131</v>
      </c>
      <c r="D231" s="1" t="s">
        <v>549</v>
      </c>
      <c r="E231" s="1" t="s">
        <v>551</v>
      </c>
      <c r="F231" s="1" t="s">
        <v>552</v>
      </c>
      <c r="G231" s="1">
        <v>625</v>
      </c>
    </row>
    <row r="232" spans="1:7" x14ac:dyDescent="0.25">
      <c r="A232" s="1" t="s">
        <v>129</v>
      </c>
      <c r="B232" s="1" t="s">
        <v>130</v>
      </c>
      <c r="C232" s="1" t="s">
        <v>131</v>
      </c>
      <c r="D232" s="1" t="s">
        <v>549</v>
      </c>
      <c r="E232" s="1" t="s">
        <v>551</v>
      </c>
      <c r="F232" s="1" t="s">
        <v>552</v>
      </c>
      <c r="G232" s="1">
        <v>350</v>
      </c>
    </row>
    <row r="233" spans="1:7" x14ac:dyDescent="0.25">
      <c r="A233" s="1" t="s">
        <v>129</v>
      </c>
      <c r="B233" s="1" t="s">
        <v>130</v>
      </c>
      <c r="C233" s="1" t="s">
        <v>131</v>
      </c>
      <c r="D233" s="1" t="s">
        <v>549</v>
      </c>
      <c r="E233" s="1" t="s">
        <v>551</v>
      </c>
      <c r="F233" s="1" t="s">
        <v>552</v>
      </c>
      <c r="G233" s="1">
        <v>1500</v>
      </c>
    </row>
    <row r="234" spans="1:7" x14ac:dyDescent="0.25">
      <c r="A234" s="1" t="s">
        <v>129</v>
      </c>
      <c r="B234" s="1" t="s">
        <v>130</v>
      </c>
      <c r="C234" s="1" t="s">
        <v>131</v>
      </c>
      <c r="D234" s="1" t="s">
        <v>549</v>
      </c>
      <c r="E234" s="1" t="s">
        <v>551</v>
      </c>
      <c r="F234" s="1" t="s">
        <v>552</v>
      </c>
      <c r="G234" s="1">
        <v>250</v>
      </c>
    </row>
    <row r="235" spans="1:7" x14ac:dyDescent="0.25">
      <c r="A235" s="1" t="s">
        <v>106</v>
      </c>
      <c r="B235" s="1" t="s">
        <v>107</v>
      </c>
      <c r="C235" s="1" t="s">
        <v>108</v>
      </c>
      <c r="D235" s="1" t="s">
        <v>701</v>
      </c>
      <c r="E235" s="1" t="s">
        <v>549</v>
      </c>
      <c r="F235" s="1" t="s">
        <v>550</v>
      </c>
      <c r="G235" s="1">
        <v>559</v>
      </c>
    </row>
    <row r="236" spans="1:7" x14ac:dyDescent="0.25">
      <c r="A236" s="1" t="s">
        <v>106</v>
      </c>
      <c r="B236" s="1" t="s">
        <v>107</v>
      </c>
      <c r="C236" s="1" t="s">
        <v>108</v>
      </c>
      <c r="D236" s="1" t="s">
        <v>702</v>
      </c>
      <c r="E236" s="1" t="s">
        <v>551</v>
      </c>
      <c r="F236" s="1" t="s">
        <v>552</v>
      </c>
      <c r="G236" s="1">
        <v>105</v>
      </c>
    </row>
    <row r="237" spans="1:7" x14ac:dyDescent="0.25">
      <c r="A237" s="1" t="s">
        <v>106</v>
      </c>
      <c r="B237" s="1" t="s">
        <v>107</v>
      </c>
      <c r="C237" s="1" t="s">
        <v>108</v>
      </c>
      <c r="D237" s="1" t="s">
        <v>694</v>
      </c>
      <c r="E237" s="1" t="s">
        <v>555</v>
      </c>
      <c r="F237" s="1" t="s">
        <v>556</v>
      </c>
      <c r="G237" s="1">
        <v>295</v>
      </c>
    </row>
    <row r="238" spans="1:7" x14ac:dyDescent="0.25">
      <c r="A238" s="1" t="s">
        <v>106</v>
      </c>
      <c r="B238" s="1" t="s">
        <v>107</v>
      </c>
      <c r="C238" s="1" t="s">
        <v>108</v>
      </c>
      <c r="D238" s="1" t="s">
        <v>703</v>
      </c>
      <c r="E238" s="1" t="s">
        <v>555</v>
      </c>
      <c r="F238" s="1" t="s">
        <v>556</v>
      </c>
      <c r="G238" s="1">
        <v>1700</v>
      </c>
    </row>
    <row r="239" spans="1:7" x14ac:dyDescent="0.25">
      <c r="A239" s="1" t="s">
        <v>106</v>
      </c>
      <c r="B239" s="1" t="s">
        <v>107</v>
      </c>
      <c r="C239" s="1" t="s">
        <v>108</v>
      </c>
      <c r="D239" s="1" t="s">
        <v>704</v>
      </c>
      <c r="E239" s="1" t="s">
        <v>569</v>
      </c>
      <c r="F239" s="1" t="s">
        <v>570</v>
      </c>
      <c r="G239" s="1">
        <v>67.84</v>
      </c>
    </row>
    <row r="240" spans="1:7" x14ac:dyDescent="0.25">
      <c r="A240" s="1" t="s">
        <v>330</v>
      </c>
      <c r="B240" s="1" t="s">
        <v>331</v>
      </c>
      <c r="C240" s="1" t="s">
        <v>332</v>
      </c>
      <c r="D240" s="1" t="s">
        <v>674</v>
      </c>
      <c r="E240" s="1" t="s">
        <v>560</v>
      </c>
      <c r="F240" s="1" t="s">
        <v>561</v>
      </c>
      <c r="G240" s="1">
        <v>796.46</v>
      </c>
    </row>
    <row r="241" spans="1:7" x14ac:dyDescent="0.25">
      <c r="A241" s="1" t="s">
        <v>326</v>
      </c>
      <c r="B241" s="1" t="s">
        <v>327</v>
      </c>
      <c r="C241" s="1" t="s">
        <v>328</v>
      </c>
      <c r="D241" s="1" t="s">
        <v>657</v>
      </c>
      <c r="E241" s="1" t="s">
        <v>558</v>
      </c>
      <c r="F241" s="1" t="s">
        <v>559</v>
      </c>
      <c r="G241" s="1">
        <v>38.450000000000003</v>
      </c>
    </row>
    <row r="242" spans="1:7" x14ac:dyDescent="0.25">
      <c r="A242" s="1" t="s">
        <v>326</v>
      </c>
      <c r="B242" s="1" t="s">
        <v>327</v>
      </c>
      <c r="C242" s="1" t="s">
        <v>328</v>
      </c>
      <c r="D242" s="1" t="s">
        <v>657</v>
      </c>
      <c r="E242" s="1" t="s">
        <v>558</v>
      </c>
      <c r="F242" s="1" t="s">
        <v>559</v>
      </c>
      <c r="G242" s="1">
        <v>90.13</v>
      </c>
    </row>
    <row r="243" spans="1:7" x14ac:dyDescent="0.25">
      <c r="A243" s="1" t="s">
        <v>140</v>
      </c>
      <c r="B243" s="1" t="s">
        <v>141</v>
      </c>
      <c r="C243" s="1" t="s">
        <v>42</v>
      </c>
      <c r="D243" s="1" t="s">
        <v>731</v>
      </c>
      <c r="E243" s="1" t="s">
        <v>560</v>
      </c>
      <c r="F243" s="1" t="s">
        <v>561</v>
      </c>
      <c r="G243" s="1">
        <v>164.85</v>
      </c>
    </row>
    <row r="244" spans="1:7" x14ac:dyDescent="0.25">
      <c r="A244" s="1" t="s">
        <v>140</v>
      </c>
      <c r="B244" s="1" t="s">
        <v>141</v>
      </c>
      <c r="C244" s="1" t="s">
        <v>42</v>
      </c>
      <c r="D244" s="1" t="s">
        <v>731</v>
      </c>
      <c r="E244" s="1" t="s">
        <v>560</v>
      </c>
      <c r="F244" s="1" t="s">
        <v>561</v>
      </c>
      <c r="G244" s="1">
        <v>148.35</v>
      </c>
    </row>
    <row r="245" spans="1:7" x14ac:dyDescent="0.25">
      <c r="A245" s="1" t="s">
        <v>140</v>
      </c>
      <c r="B245" s="1" t="s">
        <v>141</v>
      </c>
      <c r="C245" s="1" t="s">
        <v>42</v>
      </c>
      <c r="D245" s="1" t="s">
        <v>731</v>
      </c>
      <c r="E245" s="1" t="s">
        <v>560</v>
      </c>
      <c r="F245" s="1" t="s">
        <v>561</v>
      </c>
      <c r="G245" s="1">
        <v>59.97</v>
      </c>
    </row>
    <row r="246" spans="1:7" x14ac:dyDescent="0.25">
      <c r="A246" s="1" t="s">
        <v>323</v>
      </c>
      <c r="B246" s="1" t="s">
        <v>320</v>
      </c>
      <c r="C246" s="1" t="s">
        <v>324</v>
      </c>
      <c r="D246" s="1" t="s">
        <v>602</v>
      </c>
      <c r="E246" s="1" t="s">
        <v>590</v>
      </c>
      <c r="F246" s="1" t="s">
        <v>591</v>
      </c>
      <c r="G246" s="1">
        <v>250</v>
      </c>
    </row>
    <row r="247" spans="1:7" x14ac:dyDescent="0.25">
      <c r="A247" s="1" t="s">
        <v>319</v>
      </c>
      <c r="B247" s="1" t="s">
        <v>320</v>
      </c>
      <c r="C247" s="1" t="s">
        <v>321</v>
      </c>
      <c r="D247" s="1" t="s">
        <v>687</v>
      </c>
      <c r="E247" s="1" t="s">
        <v>549</v>
      </c>
      <c r="F247" s="1" t="s">
        <v>550</v>
      </c>
      <c r="G247" s="1">
        <v>711</v>
      </c>
    </row>
    <row r="248" spans="1:7" x14ac:dyDescent="0.25">
      <c r="A248" s="1" t="s">
        <v>316</v>
      </c>
      <c r="B248" s="1" t="s">
        <v>301</v>
      </c>
      <c r="C248" s="1" t="s">
        <v>317</v>
      </c>
      <c r="D248" s="1" t="s">
        <v>622</v>
      </c>
      <c r="E248" s="1" t="s">
        <v>571</v>
      </c>
      <c r="F248" s="1" t="s">
        <v>572</v>
      </c>
      <c r="G248" s="1">
        <v>594</v>
      </c>
    </row>
    <row r="249" spans="1:7" x14ac:dyDescent="0.25">
      <c r="A249" s="1" t="s">
        <v>313</v>
      </c>
      <c r="B249" s="1" t="s">
        <v>301</v>
      </c>
      <c r="C249" s="1" t="s">
        <v>314</v>
      </c>
      <c r="D249" s="1" t="s">
        <v>611</v>
      </c>
      <c r="E249" s="1" t="s">
        <v>571</v>
      </c>
      <c r="F249" s="1" t="s">
        <v>572</v>
      </c>
      <c r="G249" s="1">
        <v>174.6</v>
      </c>
    </row>
    <row r="250" spans="1:7" x14ac:dyDescent="0.25">
      <c r="A250" s="1" t="s">
        <v>310</v>
      </c>
      <c r="B250" s="1" t="s">
        <v>301</v>
      </c>
      <c r="C250" s="1" t="s">
        <v>311</v>
      </c>
      <c r="D250" s="1" t="s">
        <v>611</v>
      </c>
      <c r="E250" s="1" t="s">
        <v>571</v>
      </c>
      <c r="F250" s="1" t="s">
        <v>572</v>
      </c>
      <c r="G250" s="1">
        <v>159</v>
      </c>
    </row>
    <row r="251" spans="1:7" x14ac:dyDescent="0.25">
      <c r="A251" s="1" t="s">
        <v>307</v>
      </c>
      <c r="B251" s="1" t="s">
        <v>301</v>
      </c>
      <c r="C251" s="1" t="s">
        <v>308</v>
      </c>
      <c r="D251" s="1" t="s">
        <v>611</v>
      </c>
      <c r="E251" s="1" t="s">
        <v>571</v>
      </c>
      <c r="F251" s="1" t="s">
        <v>572</v>
      </c>
      <c r="G251" s="1">
        <v>174.6</v>
      </c>
    </row>
    <row r="252" spans="1:7" x14ac:dyDescent="0.25">
      <c r="A252" s="1" t="s">
        <v>304</v>
      </c>
      <c r="B252" s="1" t="s">
        <v>301</v>
      </c>
      <c r="C252" s="1" t="s">
        <v>305</v>
      </c>
      <c r="D252" s="1" t="s">
        <v>611</v>
      </c>
      <c r="E252" s="1" t="s">
        <v>571</v>
      </c>
      <c r="F252" s="1" t="s">
        <v>572</v>
      </c>
      <c r="G252" s="1">
        <v>159</v>
      </c>
    </row>
    <row r="253" spans="1:7" x14ac:dyDescent="0.25">
      <c r="A253" s="1" t="s">
        <v>300</v>
      </c>
      <c r="B253" s="1" t="s">
        <v>301</v>
      </c>
      <c r="C253" s="1" t="s">
        <v>302</v>
      </c>
      <c r="D253" s="1" t="s">
        <v>549</v>
      </c>
      <c r="E253" s="1" t="s">
        <v>549</v>
      </c>
      <c r="F253" s="1" t="s">
        <v>550</v>
      </c>
      <c r="G253" s="1">
        <v>360</v>
      </c>
    </row>
    <row r="254" spans="1:7" x14ac:dyDescent="0.25">
      <c r="A254" s="1" t="s">
        <v>272</v>
      </c>
      <c r="B254" s="1" t="s">
        <v>273</v>
      </c>
      <c r="C254" s="1" t="s">
        <v>274</v>
      </c>
      <c r="D254" s="1" t="s">
        <v>653</v>
      </c>
      <c r="E254" s="1" t="s">
        <v>555</v>
      </c>
      <c r="F254" s="1" t="s">
        <v>556</v>
      </c>
      <c r="G254" s="1">
        <v>60</v>
      </c>
    </row>
    <row r="255" spans="1:7" x14ac:dyDescent="0.25">
      <c r="A255" s="1" t="s">
        <v>268</v>
      </c>
      <c r="B255" s="1" t="s">
        <v>269</v>
      </c>
      <c r="C255" s="1" t="s">
        <v>270</v>
      </c>
      <c r="D255" s="1" t="s">
        <v>270</v>
      </c>
      <c r="E255" s="1" t="s">
        <v>565</v>
      </c>
      <c r="F255" s="1" t="s">
        <v>566</v>
      </c>
      <c r="G255" s="1">
        <v>2000</v>
      </c>
    </row>
    <row r="256" spans="1:7" x14ac:dyDescent="0.25">
      <c r="A256" s="1" t="s">
        <v>289</v>
      </c>
      <c r="B256" s="1" t="s">
        <v>290</v>
      </c>
      <c r="C256" s="1" t="s">
        <v>291</v>
      </c>
      <c r="D256" s="1" t="s">
        <v>551</v>
      </c>
      <c r="E256" s="1" t="s">
        <v>551</v>
      </c>
      <c r="F256" s="1" t="s">
        <v>552</v>
      </c>
      <c r="G256" s="1">
        <v>7600</v>
      </c>
    </row>
    <row r="257" spans="1:7" x14ac:dyDescent="0.25">
      <c r="A257" s="1" t="s">
        <v>289</v>
      </c>
      <c r="B257" s="1" t="s">
        <v>290</v>
      </c>
      <c r="C257" s="1" t="s">
        <v>291</v>
      </c>
      <c r="D257" s="1" t="s">
        <v>595</v>
      </c>
      <c r="E257" s="1" t="s">
        <v>549</v>
      </c>
      <c r="F257" s="1" t="s">
        <v>550</v>
      </c>
      <c r="G257" s="1">
        <v>410</v>
      </c>
    </row>
    <row r="258" spans="1:7" x14ac:dyDescent="0.25">
      <c r="A258" s="1" t="s">
        <v>234</v>
      </c>
      <c r="B258" s="1" t="s">
        <v>235</v>
      </c>
      <c r="C258" s="1" t="s">
        <v>236</v>
      </c>
      <c r="D258" s="1" t="s">
        <v>690</v>
      </c>
      <c r="E258" s="1" t="s">
        <v>549</v>
      </c>
      <c r="F258" s="1" t="s">
        <v>550</v>
      </c>
      <c r="G258" s="1">
        <v>2010</v>
      </c>
    </row>
    <row r="259" spans="1:7" x14ac:dyDescent="0.25">
      <c r="A259" s="1" t="s">
        <v>279</v>
      </c>
      <c r="B259" s="1" t="s">
        <v>255</v>
      </c>
      <c r="C259" s="1" t="s">
        <v>280</v>
      </c>
      <c r="G259" s="1">
        <v>0</v>
      </c>
    </row>
    <row r="260" spans="1:7" x14ac:dyDescent="0.25">
      <c r="A260" s="1" t="s">
        <v>276</v>
      </c>
      <c r="B260" s="1" t="s">
        <v>273</v>
      </c>
      <c r="C260" s="1" t="s">
        <v>277</v>
      </c>
      <c r="D260" s="1" t="s">
        <v>654</v>
      </c>
      <c r="E260" s="1" t="s">
        <v>560</v>
      </c>
      <c r="F260" s="1" t="s">
        <v>561</v>
      </c>
      <c r="G260" s="1">
        <v>43.98</v>
      </c>
    </row>
    <row r="261" spans="1:7" x14ac:dyDescent="0.25">
      <c r="A261" s="1" t="s">
        <v>200</v>
      </c>
      <c r="B261" s="1" t="s">
        <v>197</v>
      </c>
      <c r="C261" s="1" t="s">
        <v>201</v>
      </c>
      <c r="D261" s="1" t="s">
        <v>642</v>
      </c>
      <c r="E261" s="1" t="s">
        <v>549</v>
      </c>
      <c r="F261" s="1" t="s">
        <v>550</v>
      </c>
      <c r="G261" s="1">
        <v>1955</v>
      </c>
    </row>
    <row r="262" spans="1:7" x14ac:dyDescent="0.25">
      <c r="A262" s="1" t="s">
        <v>265</v>
      </c>
      <c r="B262" s="1" t="s">
        <v>247</v>
      </c>
      <c r="C262" s="1" t="s">
        <v>266</v>
      </c>
      <c r="D262" s="1" t="s">
        <v>585</v>
      </c>
      <c r="E262" s="1" t="s">
        <v>579</v>
      </c>
      <c r="F262" s="1" t="s">
        <v>580</v>
      </c>
      <c r="G262" s="1">
        <v>4340</v>
      </c>
    </row>
    <row r="263" spans="1:7" x14ac:dyDescent="0.25">
      <c r="A263" s="1" t="s">
        <v>196</v>
      </c>
      <c r="B263" s="1" t="s">
        <v>197</v>
      </c>
      <c r="C263" s="1" t="s">
        <v>198</v>
      </c>
      <c r="D263" s="1" t="s">
        <v>643</v>
      </c>
      <c r="E263" s="1" t="s">
        <v>571</v>
      </c>
      <c r="F263" s="1" t="s">
        <v>572</v>
      </c>
      <c r="G263" s="1">
        <v>321</v>
      </c>
    </row>
    <row r="264" spans="1:7" x14ac:dyDescent="0.25">
      <c r="A264" s="1" t="s">
        <v>246</v>
      </c>
      <c r="B264" s="1" t="s">
        <v>247</v>
      </c>
      <c r="C264" s="1" t="s">
        <v>248</v>
      </c>
      <c r="D264" s="1" t="s">
        <v>589</v>
      </c>
      <c r="E264" s="1" t="s">
        <v>565</v>
      </c>
      <c r="F264" s="1" t="s">
        <v>566</v>
      </c>
      <c r="G264" s="1">
        <v>50</v>
      </c>
    </row>
    <row r="265" spans="1:7" x14ac:dyDescent="0.25">
      <c r="A265" s="1" t="s">
        <v>158</v>
      </c>
      <c r="B265" s="1" t="s">
        <v>144</v>
      </c>
      <c r="C265" s="1" t="s">
        <v>159</v>
      </c>
      <c r="D265" s="1" t="s">
        <v>606</v>
      </c>
      <c r="E265" s="1" t="s">
        <v>549</v>
      </c>
      <c r="F265" s="1" t="s">
        <v>550</v>
      </c>
      <c r="G265" s="1">
        <v>42.5</v>
      </c>
    </row>
    <row r="266" spans="1:7" x14ac:dyDescent="0.25">
      <c r="A266" s="1" t="s">
        <v>158</v>
      </c>
      <c r="B266" s="1" t="s">
        <v>144</v>
      </c>
      <c r="C266" s="1" t="s">
        <v>159</v>
      </c>
      <c r="D266" s="1" t="s">
        <v>551</v>
      </c>
      <c r="E266" s="1" t="s">
        <v>551</v>
      </c>
      <c r="F266" s="1" t="s">
        <v>552</v>
      </c>
      <c r="G266" s="1">
        <v>85</v>
      </c>
    </row>
    <row r="267" spans="1:7" x14ac:dyDescent="0.25">
      <c r="A267" s="1" t="s">
        <v>230</v>
      </c>
      <c r="B267" s="1" t="s">
        <v>231</v>
      </c>
      <c r="C267" s="1" t="s">
        <v>232</v>
      </c>
      <c r="D267" s="1" t="s">
        <v>656</v>
      </c>
      <c r="E267" s="1" t="s">
        <v>569</v>
      </c>
      <c r="F267" s="1" t="s">
        <v>570</v>
      </c>
      <c r="G267" s="1">
        <v>105.99</v>
      </c>
    </row>
    <row r="268" spans="1:7" x14ac:dyDescent="0.25">
      <c r="A268" s="1" t="s">
        <v>230</v>
      </c>
      <c r="B268" s="1" t="s">
        <v>231</v>
      </c>
      <c r="C268" s="1" t="s">
        <v>232</v>
      </c>
      <c r="D268" s="1" t="s">
        <v>656</v>
      </c>
      <c r="E268" s="1" t="s">
        <v>569</v>
      </c>
      <c r="F268" s="1" t="s">
        <v>570</v>
      </c>
      <c r="G268" s="1">
        <v>199.99</v>
      </c>
    </row>
    <row r="269" spans="1:7" x14ac:dyDescent="0.25">
      <c r="A269" s="1" t="s">
        <v>230</v>
      </c>
      <c r="B269" s="1" t="s">
        <v>231</v>
      </c>
      <c r="C269" s="1" t="s">
        <v>232</v>
      </c>
      <c r="D269" s="1" t="s">
        <v>658</v>
      </c>
      <c r="E269" s="1" t="s">
        <v>560</v>
      </c>
      <c r="F269" s="1" t="s">
        <v>561</v>
      </c>
      <c r="G269" s="1">
        <v>32.590000000000003</v>
      </c>
    </row>
    <row r="270" spans="1:7" x14ac:dyDescent="0.25">
      <c r="A270" s="1" t="s">
        <v>230</v>
      </c>
      <c r="B270" s="1" t="s">
        <v>231</v>
      </c>
      <c r="C270" s="1" t="s">
        <v>232</v>
      </c>
      <c r="D270" s="1" t="s">
        <v>658</v>
      </c>
      <c r="E270" s="1" t="s">
        <v>560</v>
      </c>
      <c r="F270" s="1" t="s">
        <v>561</v>
      </c>
      <c r="G270" s="1">
        <v>76.95</v>
      </c>
    </row>
    <row r="271" spans="1:7" x14ac:dyDescent="0.25">
      <c r="A271" s="1" t="s">
        <v>220</v>
      </c>
      <c r="B271" s="1" t="s">
        <v>162</v>
      </c>
      <c r="C271" s="1" t="s">
        <v>215</v>
      </c>
      <c r="D271" s="1" t="s">
        <v>576</v>
      </c>
      <c r="E271" s="1" t="s">
        <v>553</v>
      </c>
      <c r="F271" s="1" t="s">
        <v>554</v>
      </c>
      <c r="G271" s="1">
        <v>1500</v>
      </c>
    </row>
    <row r="272" spans="1:7" x14ac:dyDescent="0.25">
      <c r="A272" s="1" t="s">
        <v>203</v>
      </c>
      <c r="B272" s="1" t="s">
        <v>204</v>
      </c>
      <c r="C272" s="1" t="s">
        <v>205</v>
      </c>
      <c r="D272" s="1" t="s">
        <v>637</v>
      </c>
      <c r="E272" s="1" t="s">
        <v>560</v>
      </c>
      <c r="F272" s="1" t="s">
        <v>561</v>
      </c>
      <c r="G272" s="1">
        <v>1037.5</v>
      </c>
    </row>
    <row r="273" spans="1:7" x14ac:dyDescent="0.25">
      <c r="A273" s="1" t="s">
        <v>203</v>
      </c>
      <c r="B273" s="1" t="s">
        <v>204</v>
      </c>
      <c r="C273" s="1" t="s">
        <v>205</v>
      </c>
      <c r="D273" s="1" t="s">
        <v>638</v>
      </c>
      <c r="E273" s="1" t="s">
        <v>560</v>
      </c>
      <c r="F273" s="1" t="s">
        <v>561</v>
      </c>
      <c r="G273" s="1">
        <v>13.6</v>
      </c>
    </row>
    <row r="274" spans="1:7" x14ac:dyDescent="0.25">
      <c r="A274" s="1" t="s">
        <v>143</v>
      </c>
      <c r="B274" s="1" t="s">
        <v>144</v>
      </c>
      <c r="C274" s="1" t="s">
        <v>42</v>
      </c>
      <c r="D274" s="1" t="s">
        <v>651</v>
      </c>
      <c r="E274" s="1" t="s">
        <v>569</v>
      </c>
      <c r="F274" s="1" t="s">
        <v>570</v>
      </c>
      <c r="G274" s="1">
        <v>125.31</v>
      </c>
    </row>
    <row r="275" spans="1:7" x14ac:dyDescent="0.25">
      <c r="A275" s="1" t="s">
        <v>217</v>
      </c>
      <c r="B275" s="1" t="s">
        <v>218</v>
      </c>
      <c r="C275" s="1" t="s">
        <v>218</v>
      </c>
      <c r="D275" s="1" t="s">
        <v>636</v>
      </c>
      <c r="E275" s="1" t="s">
        <v>547</v>
      </c>
      <c r="F275" s="1" t="s">
        <v>98</v>
      </c>
      <c r="G275" s="1">
        <v>24.93</v>
      </c>
    </row>
    <row r="276" spans="1:7" x14ac:dyDescent="0.25">
      <c r="A276" s="1" t="s">
        <v>217</v>
      </c>
      <c r="B276" s="1" t="s">
        <v>218</v>
      </c>
      <c r="C276" s="1" t="s">
        <v>218</v>
      </c>
      <c r="D276" s="1" t="s">
        <v>636</v>
      </c>
      <c r="E276" s="1" t="s">
        <v>547</v>
      </c>
      <c r="F276" s="1" t="s">
        <v>98</v>
      </c>
      <c r="G276" s="1">
        <v>24.93</v>
      </c>
    </row>
    <row r="277" spans="1:7" x14ac:dyDescent="0.25">
      <c r="A277" s="1" t="s">
        <v>217</v>
      </c>
      <c r="B277" s="1" t="s">
        <v>218</v>
      </c>
      <c r="C277" s="1" t="s">
        <v>218</v>
      </c>
      <c r="D277" s="1" t="s">
        <v>636</v>
      </c>
      <c r="E277" s="1" t="s">
        <v>547</v>
      </c>
      <c r="F277" s="1" t="s">
        <v>98</v>
      </c>
      <c r="G277" s="1">
        <v>4.6500000000000004</v>
      </c>
    </row>
    <row r="278" spans="1:7" x14ac:dyDescent="0.25">
      <c r="A278" s="1" t="s">
        <v>217</v>
      </c>
      <c r="B278" s="1" t="s">
        <v>218</v>
      </c>
      <c r="C278" s="1" t="s">
        <v>218</v>
      </c>
      <c r="D278" s="1" t="s">
        <v>636</v>
      </c>
      <c r="E278" s="1" t="s">
        <v>547</v>
      </c>
      <c r="F278" s="1" t="s">
        <v>98</v>
      </c>
      <c r="G278" s="1">
        <v>29.95</v>
      </c>
    </row>
    <row r="279" spans="1:7" x14ac:dyDescent="0.25">
      <c r="A279" s="1" t="s">
        <v>217</v>
      </c>
      <c r="B279" s="1" t="s">
        <v>218</v>
      </c>
      <c r="C279" s="1" t="s">
        <v>218</v>
      </c>
      <c r="D279" s="1" t="s">
        <v>636</v>
      </c>
      <c r="E279" s="1" t="s">
        <v>547</v>
      </c>
      <c r="F279" s="1" t="s">
        <v>98</v>
      </c>
      <c r="G279" s="1">
        <v>23.7</v>
      </c>
    </row>
    <row r="280" spans="1:7" x14ac:dyDescent="0.25">
      <c r="A280" s="1" t="s">
        <v>86</v>
      </c>
      <c r="B280" s="1" t="s">
        <v>87</v>
      </c>
      <c r="C280" s="1" t="s">
        <v>88</v>
      </c>
      <c r="D280" s="1" t="s">
        <v>716</v>
      </c>
      <c r="E280" s="1" t="s">
        <v>555</v>
      </c>
      <c r="F280" s="1" t="s">
        <v>556</v>
      </c>
      <c r="G280" s="1">
        <v>2350</v>
      </c>
    </row>
    <row r="281" spans="1:7" x14ac:dyDescent="0.25">
      <c r="A281" s="1" t="s">
        <v>86</v>
      </c>
      <c r="B281" s="1" t="s">
        <v>87</v>
      </c>
      <c r="C281" s="1" t="s">
        <v>88</v>
      </c>
      <c r="D281" s="1" t="s">
        <v>626</v>
      </c>
      <c r="E281" s="1" t="s">
        <v>555</v>
      </c>
      <c r="F281" s="1" t="s">
        <v>556</v>
      </c>
      <c r="G281" s="1">
        <v>550</v>
      </c>
    </row>
    <row r="282" spans="1:7" x14ac:dyDescent="0.25">
      <c r="A282" s="1" t="s">
        <v>86</v>
      </c>
      <c r="B282" s="1" t="s">
        <v>87</v>
      </c>
      <c r="C282" s="1" t="s">
        <v>88</v>
      </c>
      <c r="D282" s="1" t="s">
        <v>596</v>
      </c>
      <c r="E282" s="1" t="s">
        <v>549</v>
      </c>
      <c r="F282" s="1" t="s">
        <v>550</v>
      </c>
      <c r="G282" s="1">
        <v>287</v>
      </c>
    </row>
    <row r="283" spans="1:7" x14ac:dyDescent="0.25">
      <c r="A283" s="1" t="s">
        <v>86</v>
      </c>
      <c r="B283" s="1" t="s">
        <v>87</v>
      </c>
      <c r="C283" s="1" t="s">
        <v>88</v>
      </c>
      <c r="D283" s="1" t="s">
        <v>625</v>
      </c>
      <c r="E283" s="1" t="s">
        <v>558</v>
      </c>
      <c r="F283" s="1" t="s">
        <v>559</v>
      </c>
      <c r="G283" s="1">
        <v>40.5</v>
      </c>
    </row>
    <row r="284" spans="1:7" x14ac:dyDescent="0.25">
      <c r="A284" s="1" t="s">
        <v>214</v>
      </c>
      <c r="B284" s="1" t="s">
        <v>162</v>
      </c>
      <c r="C284" s="1" t="s">
        <v>215</v>
      </c>
      <c r="D284" s="1" t="s">
        <v>577</v>
      </c>
      <c r="E284" s="1" t="s">
        <v>549</v>
      </c>
      <c r="F284" s="1" t="s">
        <v>550</v>
      </c>
      <c r="G284" s="1">
        <v>1000</v>
      </c>
    </row>
    <row r="285" spans="1:7" x14ac:dyDescent="0.25">
      <c r="A285" s="1" t="s">
        <v>211</v>
      </c>
      <c r="B285" s="1" t="s">
        <v>162</v>
      </c>
      <c r="C285" s="1" t="s">
        <v>212</v>
      </c>
      <c r="D285" s="1" t="s">
        <v>578</v>
      </c>
      <c r="E285" s="1" t="s">
        <v>579</v>
      </c>
      <c r="F285" s="1" t="s">
        <v>580</v>
      </c>
      <c r="G285" s="1">
        <v>720</v>
      </c>
    </row>
    <row r="286" spans="1:7" x14ac:dyDescent="0.25">
      <c r="A286" s="1" t="s">
        <v>193</v>
      </c>
      <c r="B286" s="1" t="s">
        <v>166</v>
      </c>
      <c r="C286" s="1" t="s">
        <v>194</v>
      </c>
      <c r="D286" s="1" t="s">
        <v>714</v>
      </c>
      <c r="E286" s="1" t="s">
        <v>549</v>
      </c>
      <c r="F286" s="1" t="s">
        <v>550</v>
      </c>
      <c r="G286" s="1">
        <v>750</v>
      </c>
    </row>
    <row r="287" spans="1:7" x14ac:dyDescent="0.25">
      <c r="A287" s="1" t="s">
        <v>190</v>
      </c>
      <c r="B287" s="1" t="s">
        <v>173</v>
      </c>
      <c r="C287" s="1" t="s">
        <v>191</v>
      </c>
      <c r="D287" s="1" t="s">
        <v>697</v>
      </c>
      <c r="E287" s="1" t="s">
        <v>555</v>
      </c>
      <c r="F287" s="1" t="s">
        <v>556</v>
      </c>
      <c r="G287" s="1">
        <v>240</v>
      </c>
    </row>
    <row r="288" spans="1:7" x14ac:dyDescent="0.25">
      <c r="A288" s="1" t="s">
        <v>187</v>
      </c>
      <c r="B288" s="1" t="s">
        <v>166</v>
      </c>
      <c r="C288" s="1" t="s">
        <v>188</v>
      </c>
      <c r="D288" s="1" t="s">
        <v>714</v>
      </c>
      <c r="E288" s="1" t="s">
        <v>549</v>
      </c>
      <c r="F288" s="1" t="s">
        <v>550</v>
      </c>
      <c r="G288" s="1">
        <v>750</v>
      </c>
    </row>
    <row r="289" spans="1:7" x14ac:dyDescent="0.25">
      <c r="A289" s="1" t="s">
        <v>183</v>
      </c>
      <c r="B289" s="1" t="s">
        <v>184</v>
      </c>
      <c r="C289" s="1" t="s">
        <v>185</v>
      </c>
      <c r="D289" s="1" t="s">
        <v>715</v>
      </c>
      <c r="E289" s="1" t="s">
        <v>560</v>
      </c>
      <c r="F289" s="1" t="s">
        <v>561</v>
      </c>
      <c r="G289" s="1">
        <v>50</v>
      </c>
    </row>
    <row r="290" spans="1:7" x14ac:dyDescent="0.25">
      <c r="A290" s="1" t="s">
        <v>180</v>
      </c>
      <c r="B290" s="1" t="s">
        <v>166</v>
      </c>
      <c r="C290" s="1" t="s">
        <v>181</v>
      </c>
      <c r="D290" s="1" t="s">
        <v>714</v>
      </c>
      <c r="E290" s="1" t="s">
        <v>549</v>
      </c>
      <c r="F290" s="1" t="s">
        <v>550</v>
      </c>
      <c r="G290" s="1">
        <v>750</v>
      </c>
    </row>
    <row r="291" spans="1:7" x14ac:dyDescent="0.25">
      <c r="A291" s="1" t="s">
        <v>172</v>
      </c>
      <c r="B291" s="1" t="s">
        <v>173</v>
      </c>
      <c r="C291" s="1" t="s">
        <v>174</v>
      </c>
      <c r="D291" s="1" t="s">
        <v>698</v>
      </c>
      <c r="E291" s="1" t="s">
        <v>555</v>
      </c>
      <c r="F291" s="1" t="s">
        <v>556</v>
      </c>
      <c r="G291" s="1">
        <v>1600</v>
      </c>
    </row>
    <row r="292" spans="1:7" x14ac:dyDescent="0.25">
      <c r="A292" s="1" t="s">
        <v>169</v>
      </c>
      <c r="B292" s="1" t="s">
        <v>166</v>
      </c>
      <c r="C292" s="1" t="s">
        <v>170</v>
      </c>
      <c r="D292" s="1" t="s">
        <v>714</v>
      </c>
      <c r="E292" s="1" t="s">
        <v>549</v>
      </c>
      <c r="F292" s="1" t="s">
        <v>550</v>
      </c>
      <c r="G292" s="1">
        <v>750</v>
      </c>
    </row>
    <row r="293" spans="1:7" x14ac:dyDescent="0.25">
      <c r="A293" s="1" t="s">
        <v>165</v>
      </c>
      <c r="B293" s="1" t="s">
        <v>166</v>
      </c>
      <c r="C293" s="1" t="s">
        <v>167</v>
      </c>
      <c r="D293" s="1" t="s">
        <v>714</v>
      </c>
      <c r="E293" s="1" t="s">
        <v>549</v>
      </c>
      <c r="F293" s="1" t="s">
        <v>550</v>
      </c>
      <c r="G293" s="1">
        <v>750</v>
      </c>
    </row>
    <row r="294" spans="1:7" x14ac:dyDescent="0.25">
      <c r="A294" s="1" t="s">
        <v>161</v>
      </c>
      <c r="B294" s="1" t="s">
        <v>162</v>
      </c>
      <c r="C294" s="1" t="s">
        <v>163</v>
      </c>
      <c r="D294" s="1" t="s">
        <v>660</v>
      </c>
      <c r="E294" s="1" t="s">
        <v>661</v>
      </c>
      <c r="F294" s="1" t="s">
        <v>98</v>
      </c>
      <c r="G294" s="1">
        <v>2000</v>
      </c>
    </row>
    <row r="295" spans="1:7" x14ac:dyDescent="0.25">
      <c r="A295" s="1" t="s">
        <v>122</v>
      </c>
      <c r="B295" s="1" t="s">
        <v>123</v>
      </c>
      <c r="C295" s="1" t="s">
        <v>124</v>
      </c>
      <c r="D295" s="1" t="s">
        <v>549</v>
      </c>
      <c r="E295" s="1" t="s">
        <v>549</v>
      </c>
      <c r="F295" s="1" t="s">
        <v>550</v>
      </c>
      <c r="G295" s="1">
        <v>14</v>
      </c>
    </row>
    <row r="296" spans="1:7" x14ac:dyDescent="0.25">
      <c r="A296" s="1" t="s">
        <v>122</v>
      </c>
      <c r="B296" s="1" t="s">
        <v>123</v>
      </c>
      <c r="C296" s="1" t="s">
        <v>124</v>
      </c>
      <c r="D296" s="1" t="s">
        <v>549</v>
      </c>
      <c r="E296" s="1" t="s">
        <v>549</v>
      </c>
      <c r="F296" s="1" t="s">
        <v>550</v>
      </c>
      <c r="G296" s="1">
        <v>5</v>
      </c>
    </row>
    <row r="297" spans="1:7" x14ac:dyDescent="0.25">
      <c r="A297" s="1" t="s">
        <v>122</v>
      </c>
      <c r="B297" s="1" t="s">
        <v>123</v>
      </c>
      <c r="C297" s="1" t="s">
        <v>124</v>
      </c>
      <c r="D297" s="1" t="s">
        <v>549</v>
      </c>
      <c r="E297" s="1" t="s">
        <v>549</v>
      </c>
      <c r="F297" s="1" t="s">
        <v>550</v>
      </c>
      <c r="G297" s="1">
        <v>10</v>
      </c>
    </row>
    <row r="298" spans="1:7" x14ac:dyDescent="0.25">
      <c r="A298" s="1" t="s">
        <v>156</v>
      </c>
      <c r="B298" s="1" t="s">
        <v>93</v>
      </c>
      <c r="C298" s="1" t="s">
        <v>98</v>
      </c>
      <c r="G298" s="1">
        <v>0</v>
      </c>
    </row>
    <row r="299" spans="1:7" x14ac:dyDescent="0.25">
      <c r="A299" s="1" t="s">
        <v>90</v>
      </c>
      <c r="B299" s="1" t="s">
        <v>87</v>
      </c>
      <c r="C299" s="1" t="s">
        <v>91</v>
      </c>
      <c r="D299" s="1" t="s">
        <v>717</v>
      </c>
      <c r="E299" s="1" t="s">
        <v>555</v>
      </c>
      <c r="F299" s="1" t="s">
        <v>556</v>
      </c>
      <c r="G299" s="1">
        <v>14400</v>
      </c>
    </row>
    <row r="300" spans="1:7" x14ac:dyDescent="0.25">
      <c r="A300" s="1" t="s">
        <v>149</v>
      </c>
      <c r="B300" s="1" t="s">
        <v>150</v>
      </c>
      <c r="C300" s="1" t="s">
        <v>151</v>
      </c>
      <c r="D300" s="1" t="s">
        <v>709</v>
      </c>
      <c r="E300" s="1" t="s">
        <v>565</v>
      </c>
      <c r="F300" s="1" t="s">
        <v>618</v>
      </c>
      <c r="G300" s="1">
        <v>15</v>
      </c>
    </row>
    <row r="301" spans="1:7" x14ac:dyDescent="0.25">
      <c r="A301" s="1" t="s">
        <v>48</v>
      </c>
      <c r="B301" s="1" t="s">
        <v>49</v>
      </c>
      <c r="C301" s="1" t="s">
        <v>50</v>
      </c>
      <c r="D301" s="1" t="s">
        <v>599</v>
      </c>
      <c r="E301" s="1" t="s">
        <v>555</v>
      </c>
      <c r="F301" s="1" t="s">
        <v>556</v>
      </c>
      <c r="G301" s="1">
        <v>3975</v>
      </c>
    </row>
    <row r="302" spans="1:7" x14ac:dyDescent="0.25">
      <c r="A302" s="1" t="s">
        <v>136</v>
      </c>
      <c r="B302" s="1" t="s">
        <v>137</v>
      </c>
      <c r="C302" s="1" t="s">
        <v>138</v>
      </c>
      <c r="D302" s="1" t="s">
        <v>712</v>
      </c>
      <c r="E302" s="1" t="s">
        <v>590</v>
      </c>
      <c r="F302" s="1" t="s">
        <v>591</v>
      </c>
      <c r="G302" s="1">
        <v>200</v>
      </c>
    </row>
    <row r="303" spans="1:7" x14ac:dyDescent="0.25">
      <c r="A303" s="1" t="s">
        <v>136</v>
      </c>
      <c r="B303" s="1" t="s">
        <v>137</v>
      </c>
      <c r="C303" s="1" t="s">
        <v>138</v>
      </c>
      <c r="D303" s="1" t="s">
        <v>713</v>
      </c>
      <c r="E303" s="1" t="s">
        <v>555</v>
      </c>
      <c r="F303" s="1" t="s">
        <v>556</v>
      </c>
      <c r="G303" s="1">
        <v>1620</v>
      </c>
    </row>
    <row r="304" spans="1:7" x14ac:dyDescent="0.25">
      <c r="A304" s="1" t="s">
        <v>133</v>
      </c>
      <c r="B304" s="1" t="s">
        <v>7</v>
      </c>
      <c r="C304" s="1" t="s">
        <v>134</v>
      </c>
      <c r="D304" s="1" t="s">
        <v>553</v>
      </c>
      <c r="E304" s="1" t="s">
        <v>551</v>
      </c>
      <c r="F304" s="1" t="s">
        <v>552</v>
      </c>
      <c r="G304" s="1">
        <v>175</v>
      </c>
    </row>
    <row r="305" spans="1:7" x14ac:dyDescent="0.25">
      <c r="A305" s="1" t="s">
        <v>133</v>
      </c>
      <c r="B305" s="1" t="s">
        <v>7</v>
      </c>
      <c r="C305" s="1" t="s">
        <v>134</v>
      </c>
      <c r="D305" s="1" t="s">
        <v>609</v>
      </c>
      <c r="E305" s="1" t="s">
        <v>549</v>
      </c>
      <c r="F305" s="1" t="s">
        <v>550</v>
      </c>
      <c r="G305" s="1">
        <v>430</v>
      </c>
    </row>
    <row r="306" spans="1:7" x14ac:dyDescent="0.25">
      <c r="A306" s="1" t="s">
        <v>95</v>
      </c>
      <c r="B306" s="1" t="s">
        <v>93</v>
      </c>
      <c r="C306" s="1" t="s">
        <v>94</v>
      </c>
      <c r="D306" s="1" t="s">
        <v>603</v>
      </c>
      <c r="E306" s="1" t="s">
        <v>549</v>
      </c>
      <c r="F306" s="1" t="s">
        <v>550</v>
      </c>
      <c r="G306" s="1">
        <v>1132</v>
      </c>
    </row>
    <row r="307" spans="1:7" x14ac:dyDescent="0.25">
      <c r="A307" s="1" t="s">
        <v>95</v>
      </c>
      <c r="B307" s="1" t="s">
        <v>93</v>
      </c>
      <c r="C307" s="1" t="s">
        <v>94</v>
      </c>
      <c r="D307" s="1" t="s">
        <v>605</v>
      </c>
      <c r="E307" s="1" t="s">
        <v>551</v>
      </c>
      <c r="F307" s="1" t="s">
        <v>552</v>
      </c>
      <c r="G307" s="1">
        <v>470</v>
      </c>
    </row>
    <row r="308" spans="1:7" x14ac:dyDescent="0.25">
      <c r="A308" s="1" t="s">
        <v>103</v>
      </c>
      <c r="B308" s="1" t="s">
        <v>7</v>
      </c>
      <c r="C308" s="1" t="s">
        <v>104</v>
      </c>
      <c r="D308" s="1" t="s">
        <v>551</v>
      </c>
      <c r="E308" s="1" t="s">
        <v>551</v>
      </c>
      <c r="F308" s="1" t="s">
        <v>552</v>
      </c>
      <c r="G308" s="1">
        <v>325</v>
      </c>
    </row>
    <row r="309" spans="1:7" x14ac:dyDescent="0.25">
      <c r="A309" s="1" t="s">
        <v>103</v>
      </c>
      <c r="B309" s="1" t="s">
        <v>7</v>
      </c>
      <c r="C309" s="1" t="s">
        <v>104</v>
      </c>
      <c r="D309" s="1" t="s">
        <v>549</v>
      </c>
      <c r="E309" s="1" t="s">
        <v>549</v>
      </c>
      <c r="F309" s="1" t="s">
        <v>550</v>
      </c>
      <c r="G309" s="1">
        <v>260</v>
      </c>
    </row>
    <row r="310" spans="1:7" x14ac:dyDescent="0.25">
      <c r="A310" s="1" t="s">
        <v>117</v>
      </c>
      <c r="B310" s="1" t="s">
        <v>93</v>
      </c>
      <c r="C310" s="1" t="s">
        <v>94</v>
      </c>
      <c r="D310" s="1" t="s">
        <v>603</v>
      </c>
      <c r="E310" s="1" t="s">
        <v>549</v>
      </c>
      <c r="F310" s="1" t="s">
        <v>550</v>
      </c>
      <c r="G310" s="1">
        <v>1000</v>
      </c>
    </row>
    <row r="311" spans="1:7" x14ac:dyDescent="0.25">
      <c r="A311" s="1" t="s">
        <v>114</v>
      </c>
      <c r="B311" s="1" t="s">
        <v>115</v>
      </c>
      <c r="C311" s="1" t="s">
        <v>42</v>
      </c>
      <c r="D311" s="1" t="s">
        <v>42</v>
      </c>
      <c r="E311" s="1" t="s">
        <v>549</v>
      </c>
      <c r="F311" s="1" t="s">
        <v>550</v>
      </c>
      <c r="G311" s="1">
        <v>900</v>
      </c>
    </row>
    <row r="312" spans="1:7" x14ac:dyDescent="0.25">
      <c r="A312" s="1" t="s">
        <v>72</v>
      </c>
      <c r="B312" s="1" t="s">
        <v>73</v>
      </c>
      <c r="C312" s="1" t="s">
        <v>74</v>
      </c>
      <c r="D312" s="1" t="s">
        <v>652</v>
      </c>
      <c r="E312" s="1" t="s">
        <v>551</v>
      </c>
      <c r="F312" s="1" t="s">
        <v>552</v>
      </c>
      <c r="G312" s="1">
        <v>349.99</v>
      </c>
    </row>
    <row r="313" spans="1:7" x14ac:dyDescent="0.25">
      <c r="A313" s="1" t="s">
        <v>72</v>
      </c>
      <c r="B313" s="1" t="s">
        <v>73</v>
      </c>
      <c r="C313" s="1" t="s">
        <v>74</v>
      </c>
      <c r="D313" s="1" t="s">
        <v>652</v>
      </c>
      <c r="E313" s="1" t="s">
        <v>551</v>
      </c>
      <c r="F313" s="1" t="s">
        <v>552</v>
      </c>
      <c r="G313" s="1">
        <v>349.99</v>
      </c>
    </row>
    <row r="314" spans="1:7" x14ac:dyDescent="0.25">
      <c r="A314" s="1" t="s">
        <v>72</v>
      </c>
      <c r="B314" s="1" t="s">
        <v>73</v>
      </c>
      <c r="C314" s="1" t="s">
        <v>74</v>
      </c>
      <c r="D314" s="1" t="s">
        <v>652</v>
      </c>
      <c r="E314" s="1" t="s">
        <v>551</v>
      </c>
      <c r="F314" s="1" t="s">
        <v>552</v>
      </c>
      <c r="G314" s="1">
        <v>26.95</v>
      </c>
    </row>
    <row r="315" spans="1:7" x14ac:dyDescent="0.25">
      <c r="A315" s="1" t="s">
        <v>72</v>
      </c>
      <c r="B315" s="1" t="s">
        <v>73</v>
      </c>
      <c r="C315" s="1" t="s">
        <v>74</v>
      </c>
      <c r="D315" s="1" t="s">
        <v>652</v>
      </c>
      <c r="E315" s="1" t="s">
        <v>551</v>
      </c>
      <c r="F315" s="1" t="s">
        <v>552</v>
      </c>
      <c r="G315" s="1">
        <v>26.95</v>
      </c>
    </row>
    <row r="316" spans="1:7" x14ac:dyDescent="0.25">
      <c r="A316" s="1" t="s">
        <v>72</v>
      </c>
      <c r="B316" s="1" t="s">
        <v>73</v>
      </c>
      <c r="C316" s="1" t="s">
        <v>74</v>
      </c>
      <c r="D316" s="1" t="s">
        <v>652</v>
      </c>
      <c r="E316" s="1" t="s">
        <v>551</v>
      </c>
      <c r="F316" s="1" t="s">
        <v>552</v>
      </c>
      <c r="G316" s="1">
        <v>26.95</v>
      </c>
    </row>
    <row r="317" spans="1:7" x14ac:dyDescent="0.25">
      <c r="A317" s="1" t="s">
        <v>56</v>
      </c>
      <c r="B317" s="1" t="s">
        <v>49</v>
      </c>
      <c r="C317" s="1" t="s">
        <v>57</v>
      </c>
      <c r="D317" s="1" t="s">
        <v>600</v>
      </c>
      <c r="E317" s="1" t="s">
        <v>555</v>
      </c>
      <c r="F317" s="1" t="s">
        <v>556</v>
      </c>
      <c r="G317" s="1">
        <v>500</v>
      </c>
    </row>
    <row r="318" spans="1:7" x14ac:dyDescent="0.25">
      <c r="A318" s="1" t="s">
        <v>100</v>
      </c>
      <c r="B318" s="1" t="s">
        <v>73</v>
      </c>
      <c r="C318" s="1" t="s">
        <v>101</v>
      </c>
      <c r="D318" s="1" t="s">
        <v>732</v>
      </c>
      <c r="E318" s="1" t="s">
        <v>634</v>
      </c>
      <c r="F318" s="1" t="s">
        <v>635</v>
      </c>
      <c r="G318" s="1">
        <v>778</v>
      </c>
    </row>
    <row r="319" spans="1:7" x14ac:dyDescent="0.25">
      <c r="A319" s="1" t="s">
        <v>100</v>
      </c>
      <c r="B319" s="1" t="s">
        <v>73</v>
      </c>
      <c r="C319" s="1" t="s">
        <v>101</v>
      </c>
      <c r="D319" s="1" t="s">
        <v>732</v>
      </c>
      <c r="E319" s="1" t="s">
        <v>634</v>
      </c>
      <c r="F319" s="1" t="s">
        <v>635</v>
      </c>
      <c r="G319" s="1">
        <v>778</v>
      </c>
    </row>
    <row r="320" spans="1:7" x14ac:dyDescent="0.25">
      <c r="A320" s="1" t="s">
        <v>100</v>
      </c>
      <c r="B320" s="1" t="s">
        <v>73</v>
      </c>
      <c r="C320" s="1" t="s">
        <v>101</v>
      </c>
      <c r="D320" s="1" t="s">
        <v>732</v>
      </c>
      <c r="E320" s="1" t="s">
        <v>634</v>
      </c>
      <c r="F320" s="1" t="s">
        <v>635</v>
      </c>
      <c r="G320" s="1">
        <v>778</v>
      </c>
    </row>
    <row r="321" spans="1:7" x14ac:dyDescent="0.25">
      <c r="A321" s="1" t="s">
        <v>100</v>
      </c>
      <c r="B321" s="1" t="s">
        <v>73</v>
      </c>
      <c r="C321" s="1" t="s">
        <v>101</v>
      </c>
      <c r="D321" s="1" t="s">
        <v>732</v>
      </c>
      <c r="E321" s="1" t="s">
        <v>634</v>
      </c>
      <c r="F321" s="1" t="s">
        <v>635</v>
      </c>
      <c r="G321" s="1">
        <v>778</v>
      </c>
    </row>
    <row r="322" spans="1:7" x14ac:dyDescent="0.25">
      <c r="A322" s="1" t="s">
        <v>100</v>
      </c>
      <c r="B322" s="1" t="s">
        <v>73</v>
      </c>
      <c r="C322" s="1" t="s">
        <v>101</v>
      </c>
      <c r="D322" s="1" t="s">
        <v>732</v>
      </c>
      <c r="E322" s="1" t="s">
        <v>634</v>
      </c>
      <c r="F322" s="1" t="s">
        <v>635</v>
      </c>
      <c r="G322" s="1">
        <v>778</v>
      </c>
    </row>
    <row r="323" spans="1:7" x14ac:dyDescent="0.25">
      <c r="A323" s="1" t="s">
        <v>82</v>
      </c>
      <c r="B323" s="1" t="s">
        <v>83</v>
      </c>
      <c r="C323" s="1" t="s">
        <v>84</v>
      </c>
      <c r="D323" s="1" t="s">
        <v>650</v>
      </c>
      <c r="E323" s="1" t="s">
        <v>555</v>
      </c>
      <c r="F323" s="1" t="s">
        <v>556</v>
      </c>
      <c r="G323" s="1">
        <v>480</v>
      </c>
    </row>
    <row r="324" spans="1:7" x14ac:dyDescent="0.25">
      <c r="A324" s="1" t="s">
        <v>59</v>
      </c>
      <c r="B324" s="1" t="s">
        <v>60</v>
      </c>
      <c r="C324" s="1" t="s">
        <v>61</v>
      </c>
      <c r="D324" s="1" t="s">
        <v>549</v>
      </c>
      <c r="E324" s="1" t="s">
        <v>549</v>
      </c>
      <c r="F324" s="1" t="s">
        <v>550</v>
      </c>
      <c r="G324" s="1">
        <v>520</v>
      </c>
    </row>
    <row r="325" spans="1:7" x14ac:dyDescent="0.25">
      <c r="A325" s="1" t="s">
        <v>59</v>
      </c>
      <c r="B325" s="1" t="s">
        <v>60</v>
      </c>
      <c r="C325" s="1" t="s">
        <v>61</v>
      </c>
      <c r="D325" s="1" t="s">
        <v>672</v>
      </c>
      <c r="E325" s="1" t="s">
        <v>551</v>
      </c>
      <c r="F325" s="1" t="s">
        <v>552</v>
      </c>
      <c r="G325" s="1">
        <v>320</v>
      </c>
    </row>
    <row r="326" spans="1:7" x14ac:dyDescent="0.25">
      <c r="A326" s="1" t="s">
        <v>59</v>
      </c>
      <c r="B326" s="1" t="s">
        <v>60</v>
      </c>
      <c r="C326" s="1" t="s">
        <v>61</v>
      </c>
      <c r="D326" s="1" t="s">
        <v>224</v>
      </c>
      <c r="E326" s="1" t="s">
        <v>553</v>
      </c>
      <c r="F326" s="1" t="s">
        <v>554</v>
      </c>
      <c r="G326" s="1">
        <v>700</v>
      </c>
    </row>
    <row r="327" spans="1:7" x14ac:dyDescent="0.25">
      <c r="A327" s="1" t="s">
        <v>59</v>
      </c>
      <c r="B327" s="1" t="s">
        <v>60</v>
      </c>
      <c r="C327" s="1" t="s">
        <v>61</v>
      </c>
      <c r="D327" s="1" t="s">
        <v>555</v>
      </c>
      <c r="E327" s="1" t="s">
        <v>555</v>
      </c>
      <c r="F327" s="1" t="s">
        <v>556</v>
      </c>
      <c r="G327" s="1">
        <v>2275</v>
      </c>
    </row>
    <row r="328" spans="1:7" x14ac:dyDescent="0.25">
      <c r="A328" s="1" t="s">
        <v>59</v>
      </c>
      <c r="B328" s="1" t="s">
        <v>60</v>
      </c>
      <c r="C328" s="1" t="s">
        <v>61</v>
      </c>
      <c r="D328" s="1" t="s">
        <v>673</v>
      </c>
      <c r="E328" s="1" t="s">
        <v>560</v>
      </c>
      <c r="F328" s="1" t="s">
        <v>561</v>
      </c>
      <c r="G328" s="1">
        <v>269.89999999999998</v>
      </c>
    </row>
    <row r="329" spans="1:7" x14ac:dyDescent="0.25">
      <c r="A329" s="1" t="s">
        <v>25</v>
      </c>
      <c r="B329" s="1" t="s">
        <v>26</v>
      </c>
      <c r="C329" s="1" t="s">
        <v>27</v>
      </c>
      <c r="D329" s="1" t="s">
        <v>688</v>
      </c>
      <c r="E329" s="1" t="s">
        <v>553</v>
      </c>
      <c r="F329" s="1" t="s">
        <v>554</v>
      </c>
      <c r="G329" s="1">
        <v>390</v>
      </c>
    </row>
    <row r="330" spans="1:7" x14ac:dyDescent="0.25">
      <c r="A330" s="1" t="s">
        <v>66</v>
      </c>
      <c r="B330" s="1" t="s">
        <v>67</v>
      </c>
      <c r="C330" s="1" t="s">
        <v>42</v>
      </c>
      <c r="D330" s="1" t="s">
        <v>42</v>
      </c>
      <c r="E330" s="1" t="s">
        <v>581</v>
      </c>
      <c r="F330" s="1" t="s">
        <v>582</v>
      </c>
      <c r="G330" s="1">
        <v>21330</v>
      </c>
    </row>
    <row r="331" spans="1:7" x14ac:dyDescent="0.25">
      <c r="A331" s="1" t="s">
        <v>52</v>
      </c>
      <c r="B331" s="1" t="s">
        <v>53</v>
      </c>
      <c r="C331" s="1" t="s">
        <v>54</v>
      </c>
      <c r="D331" s="1" t="s">
        <v>613</v>
      </c>
      <c r="E331" s="1" t="s">
        <v>551</v>
      </c>
      <c r="F331" s="1" t="s">
        <v>552</v>
      </c>
      <c r="G331" s="1">
        <v>40</v>
      </c>
    </row>
    <row r="332" spans="1:7" x14ac:dyDescent="0.25">
      <c r="A332" s="1" t="s">
        <v>52</v>
      </c>
      <c r="B332" s="1" t="s">
        <v>53</v>
      </c>
      <c r="C332" s="1" t="s">
        <v>54</v>
      </c>
      <c r="D332" s="1" t="s">
        <v>699</v>
      </c>
      <c r="E332" s="1" t="s">
        <v>549</v>
      </c>
      <c r="F332" s="1" t="s">
        <v>550</v>
      </c>
      <c r="G332" s="1">
        <v>252</v>
      </c>
    </row>
    <row r="333" spans="1:7" x14ac:dyDescent="0.25">
      <c r="A333" s="1" t="s">
        <v>52</v>
      </c>
      <c r="B333" s="1" t="s">
        <v>53</v>
      </c>
      <c r="C333" s="1" t="s">
        <v>54</v>
      </c>
      <c r="D333" s="1" t="s">
        <v>699</v>
      </c>
      <c r="E333" s="1" t="s">
        <v>549</v>
      </c>
      <c r="F333" s="1" t="s">
        <v>550</v>
      </c>
      <c r="G333" s="1">
        <v>208</v>
      </c>
    </row>
    <row r="334" spans="1:7" x14ac:dyDescent="0.25">
      <c r="A334" s="1" t="s">
        <v>52</v>
      </c>
      <c r="B334" s="1" t="s">
        <v>53</v>
      </c>
      <c r="C334" s="1" t="s">
        <v>54</v>
      </c>
      <c r="D334" s="1" t="s">
        <v>700</v>
      </c>
      <c r="E334" s="1" t="s">
        <v>555</v>
      </c>
      <c r="F334" s="1" t="s">
        <v>556</v>
      </c>
      <c r="G334" s="1">
        <v>800</v>
      </c>
    </row>
    <row r="335" spans="1:7" x14ac:dyDescent="0.25">
      <c r="A335" s="1" t="s">
        <v>36</v>
      </c>
      <c r="B335" s="1" t="s">
        <v>37</v>
      </c>
      <c r="C335" s="1" t="s">
        <v>38</v>
      </c>
      <c r="D335" s="1" t="s">
        <v>38</v>
      </c>
      <c r="E335" s="1" t="s">
        <v>562</v>
      </c>
      <c r="F335" s="1" t="s">
        <v>563</v>
      </c>
      <c r="G335" s="1">
        <v>83.33</v>
      </c>
    </row>
    <row r="336" spans="1:7" x14ac:dyDescent="0.25">
      <c r="A336" s="1" t="s">
        <v>36</v>
      </c>
      <c r="B336" s="1" t="s">
        <v>37</v>
      </c>
      <c r="C336" s="1" t="s">
        <v>38</v>
      </c>
      <c r="D336" s="1" t="s">
        <v>624</v>
      </c>
      <c r="E336" s="1" t="s">
        <v>560</v>
      </c>
      <c r="F336" s="1" t="s">
        <v>561</v>
      </c>
      <c r="G336" s="1">
        <v>45</v>
      </c>
    </row>
    <row r="337" spans="1:7" x14ac:dyDescent="0.25">
      <c r="A337" s="1" t="s">
        <v>34</v>
      </c>
      <c r="B337" s="1" t="s">
        <v>23</v>
      </c>
      <c r="C337" s="1" t="s">
        <v>24</v>
      </c>
      <c r="D337" s="1" t="s">
        <v>548</v>
      </c>
      <c r="E337" s="1" t="s">
        <v>581</v>
      </c>
      <c r="F337" s="1" t="s">
        <v>582</v>
      </c>
      <c r="G337" s="1">
        <v>2046.88</v>
      </c>
    </row>
    <row r="338" spans="1:7" x14ac:dyDescent="0.25">
      <c r="A338" s="1" t="s">
        <v>29</v>
      </c>
      <c r="B338" s="1" t="s">
        <v>31</v>
      </c>
      <c r="C338" s="1" t="s">
        <v>32</v>
      </c>
      <c r="D338" s="1" t="s">
        <v>644</v>
      </c>
      <c r="E338" s="1" t="s">
        <v>555</v>
      </c>
      <c r="F338" s="1" t="s">
        <v>556</v>
      </c>
      <c r="G338" s="1">
        <v>500</v>
      </c>
    </row>
    <row r="339" spans="1:7" x14ac:dyDescent="0.25">
      <c r="A339" s="1" t="s">
        <v>29</v>
      </c>
      <c r="B339" s="1" t="s">
        <v>31</v>
      </c>
      <c r="C339" s="1" t="s">
        <v>32</v>
      </c>
      <c r="D339" s="1" t="s">
        <v>644</v>
      </c>
      <c r="E339" s="1" t="s">
        <v>555</v>
      </c>
      <c r="F339" s="1" t="s">
        <v>556</v>
      </c>
      <c r="G339" s="1">
        <v>350</v>
      </c>
    </row>
    <row r="340" spans="1:7" x14ac:dyDescent="0.25">
      <c r="A340" s="1" t="s">
        <v>29</v>
      </c>
      <c r="B340" s="1" t="s">
        <v>31</v>
      </c>
      <c r="C340" s="1" t="s">
        <v>32</v>
      </c>
      <c r="D340" s="1" t="s">
        <v>644</v>
      </c>
      <c r="E340" s="1" t="s">
        <v>555</v>
      </c>
      <c r="F340" s="1" t="s">
        <v>556</v>
      </c>
      <c r="G340" s="1">
        <v>400</v>
      </c>
    </row>
    <row r="341" spans="1:7" x14ac:dyDescent="0.25">
      <c r="A341" s="1" t="s">
        <v>29</v>
      </c>
      <c r="B341" s="1" t="s">
        <v>31</v>
      </c>
      <c r="C341" s="1" t="s">
        <v>32</v>
      </c>
      <c r="D341" s="1" t="s">
        <v>645</v>
      </c>
      <c r="E341" s="1" t="s">
        <v>555</v>
      </c>
      <c r="F341" s="1" t="s">
        <v>556</v>
      </c>
      <c r="G341" s="1">
        <v>150</v>
      </c>
    </row>
    <row r="342" spans="1:7" x14ac:dyDescent="0.25">
      <c r="A342" s="1" t="s">
        <v>29</v>
      </c>
      <c r="B342" s="1" t="s">
        <v>31</v>
      </c>
      <c r="C342" s="1" t="s">
        <v>32</v>
      </c>
      <c r="D342" s="1" t="s">
        <v>646</v>
      </c>
      <c r="E342" s="1" t="s">
        <v>555</v>
      </c>
      <c r="F342" s="1" t="s">
        <v>556</v>
      </c>
      <c r="G342" s="1">
        <v>100</v>
      </c>
    </row>
    <row r="343" spans="1:7" x14ac:dyDescent="0.25">
      <c r="A343" s="1" t="s">
        <v>29</v>
      </c>
      <c r="B343" s="1" t="s">
        <v>31</v>
      </c>
      <c r="C343" s="1" t="s">
        <v>32</v>
      </c>
      <c r="D343" s="1" t="s">
        <v>647</v>
      </c>
      <c r="E343" s="1" t="s">
        <v>555</v>
      </c>
      <c r="F343" s="1" t="s">
        <v>556</v>
      </c>
      <c r="G343" s="1">
        <v>300</v>
      </c>
    </row>
    <row r="344" spans="1:7" x14ac:dyDescent="0.25">
      <c r="A344" s="1" t="s">
        <v>29</v>
      </c>
      <c r="B344" s="1" t="s">
        <v>31</v>
      </c>
      <c r="C344" s="1" t="s">
        <v>32</v>
      </c>
      <c r="D344" s="1" t="s">
        <v>648</v>
      </c>
      <c r="E344" s="1" t="s">
        <v>555</v>
      </c>
      <c r="F344" s="1" t="s">
        <v>556</v>
      </c>
      <c r="G344" s="1">
        <v>150</v>
      </c>
    </row>
    <row r="345" spans="1:7" x14ac:dyDescent="0.25">
      <c r="A345" s="1" t="s">
        <v>29</v>
      </c>
      <c r="B345" s="1" t="s">
        <v>31</v>
      </c>
      <c r="C345" s="1" t="s">
        <v>32</v>
      </c>
      <c r="D345" s="1" t="s">
        <v>649</v>
      </c>
      <c r="E345" s="1" t="s">
        <v>555</v>
      </c>
      <c r="F345" s="1" t="s">
        <v>556</v>
      </c>
      <c r="G345" s="1">
        <v>300</v>
      </c>
    </row>
    <row r="346" spans="1:7" x14ac:dyDescent="0.25">
      <c r="A346" s="1" t="s">
        <v>20</v>
      </c>
      <c r="B346" s="1" t="s">
        <v>11</v>
      </c>
      <c r="C346" s="1" t="s">
        <v>21</v>
      </c>
      <c r="D346" s="1" t="s">
        <v>720</v>
      </c>
      <c r="E346" s="1" t="s">
        <v>634</v>
      </c>
      <c r="F346" s="1" t="s">
        <v>635</v>
      </c>
      <c r="G346" s="1">
        <v>1332</v>
      </c>
    </row>
    <row r="347" spans="1:7" x14ac:dyDescent="0.25">
      <c r="A347" s="1" t="s">
        <v>17</v>
      </c>
      <c r="B347" s="1" t="s">
        <v>11</v>
      </c>
      <c r="C347" s="1" t="s">
        <v>18</v>
      </c>
      <c r="D347" s="1" t="s">
        <v>721</v>
      </c>
      <c r="E347" s="1" t="s">
        <v>560</v>
      </c>
      <c r="F347" s="1" t="s">
        <v>561</v>
      </c>
      <c r="G347" s="1">
        <v>1000</v>
      </c>
    </row>
    <row r="348" spans="1:7" x14ac:dyDescent="0.25">
      <c r="A348" s="1" t="s">
        <v>14</v>
      </c>
      <c r="B348" s="1" t="s">
        <v>11</v>
      </c>
      <c r="C348" s="1" t="s">
        <v>15</v>
      </c>
      <c r="D348" s="1" t="s">
        <v>722</v>
      </c>
      <c r="E348" s="1" t="s">
        <v>555</v>
      </c>
      <c r="F348" s="1" t="s">
        <v>556</v>
      </c>
      <c r="G348" s="1">
        <v>10181</v>
      </c>
    </row>
    <row r="349" spans="1:7" x14ac:dyDescent="0.25">
      <c r="A349" s="1" t="s">
        <v>14</v>
      </c>
      <c r="B349" s="1" t="s">
        <v>11</v>
      </c>
      <c r="C349" s="1" t="s">
        <v>15</v>
      </c>
      <c r="D349" s="1" t="s">
        <v>723</v>
      </c>
      <c r="E349" s="1" t="s">
        <v>555</v>
      </c>
      <c r="F349" s="1" t="s">
        <v>556</v>
      </c>
      <c r="G349" s="1">
        <v>10181</v>
      </c>
    </row>
    <row r="350" spans="1:7" x14ac:dyDescent="0.25">
      <c r="A350" s="1" t="s">
        <v>14</v>
      </c>
      <c r="B350" s="1" t="s">
        <v>11</v>
      </c>
      <c r="C350" s="1" t="s">
        <v>15</v>
      </c>
      <c r="D350" s="1" t="s">
        <v>724</v>
      </c>
      <c r="E350" s="1" t="s">
        <v>560</v>
      </c>
      <c r="F350" s="1" t="s">
        <v>561</v>
      </c>
      <c r="G350" s="1">
        <v>1000</v>
      </c>
    </row>
    <row r="351" spans="1:7" x14ac:dyDescent="0.25">
      <c r="A351" s="1" t="s">
        <v>9</v>
      </c>
      <c r="B351" s="1" t="s">
        <v>11</v>
      </c>
      <c r="C351" s="1" t="s">
        <v>12</v>
      </c>
      <c r="D351" s="1" t="s">
        <v>725</v>
      </c>
      <c r="E351" s="1" t="s">
        <v>555</v>
      </c>
      <c r="F351" s="1" t="s">
        <v>556</v>
      </c>
      <c r="G351" s="1">
        <v>7142.15</v>
      </c>
    </row>
    <row r="352" spans="1:7" x14ac:dyDescent="0.25">
      <c r="A352" s="1" t="s">
        <v>9</v>
      </c>
      <c r="B352" s="1" t="s">
        <v>11</v>
      </c>
      <c r="C352" s="1" t="s">
        <v>12</v>
      </c>
      <c r="D352" s="1" t="s">
        <v>726</v>
      </c>
      <c r="E352" s="1" t="s">
        <v>555</v>
      </c>
      <c r="F352" s="1" t="s">
        <v>556</v>
      </c>
      <c r="G352" s="1">
        <v>39336.44</v>
      </c>
    </row>
    <row r="353" spans="1:7" x14ac:dyDescent="0.25">
      <c r="A353" s="1" t="s">
        <v>9</v>
      </c>
      <c r="B353" s="1" t="s">
        <v>11</v>
      </c>
      <c r="C353" s="1" t="s">
        <v>12</v>
      </c>
      <c r="D353" s="1" t="s">
        <v>727</v>
      </c>
      <c r="E353" s="1" t="s">
        <v>555</v>
      </c>
      <c r="F353" s="1" t="s">
        <v>556</v>
      </c>
      <c r="G353" s="1">
        <v>3572.07</v>
      </c>
    </row>
  </sheetData>
  <sortState ref="A2:G353">
    <sortCondition ref="A2:A353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4"/>
  <sheetViews>
    <sheetView showOutlineSymbols="0" showWhiteSpace="0" zoomScale="85" zoomScaleNormal="85" workbookViewId="0"/>
  </sheetViews>
  <sheetFormatPr defaultRowHeight="13.8" x14ac:dyDescent="0.25"/>
  <cols>
    <col min="1" max="1" width="24.109375" style="1" customWidth="1"/>
    <col min="2" max="2" width="14.44140625" style="1" customWidth="1"/>
    <col min="3" max="3" width="25.44140625" style="1" customWidth="1"/>
    <col min="4" max="4" width="43.77734375" style="1" customWidth="1"/>
    <col min="5" max="5" width="68.21875" style="1" customWidth="1"/>
    <col min="6" max="6" width="40.109375" style="1" customWidth="1"/>
    <col min="7" max="7" width="10.77734375" style="1" customWidth="1"/>
    <col min="8" max="8" width="20.5546875" style="1" customWidth="1"/>
    <col min="9" max="9" width="30.21875" style="1" customWidth="1"/>
    <col min="10" max="10" width="27.88671875" style="1" customWidth="1"/>
    <col min="11" max="11" width="26.6640625" style="1" customWidth="1"/>
    <col min="12" max="12" width="29.109375" style="1" customWidth="1"/>
    <col min="13" max="13" width="25.44140625" style="1" customWidth="1"/>
    <col min="14" max="14" width="47.44140625" style="1" customWidth="1"/>
    <col min="15" max="15" width="70.6640625" style="1" customWidth="1"/>
    <col min="16" max="16384" width="8.88671875" style="1"/>
  </cols>
  <sheetData>
    <row r="1" spans="1:15" x14ac:dyDescent="0.25">
      <c r="A1" s="1" t="s">
        <v>733</v>
      </c>
      <c r="B1" s="1" t="s">
        <v>0</v>
      </c>
      <c r="C1" s="1" t="s">
        <v>1</v>
      </c>
      <c r="D1" s="1" t="s">
        <v>2</v>
      </c>
      <c r="E1" s="1" t="s">
        <v>734</v>
      </c>
      <c r="F1" s="1" t="s">
        <v>543</v>
      </c>
      <c r="G1" s="1" t="s">
        <v>5</v>
      </c>
      <c r="H1" s="1" t="s">
        <v>735</v>
      </c>
      <c r="I1" s="1" t="s">
        <v>736</v>
      </c>
      <c r="J1" s="1" t="s">
        <v>737</v>
      </c>
      <c r="K1" s="1" t="s">
        <v>738</v>
      </c>
      <c r="L1" s="1" t="s">
        <v>739</v>
      </c>
      <c r="M1" s="1" t="s">
        <v>740</v>
      </c>
      <c r="N1" s="1" t="s">
        <v>741</v>
      </c>
      <c r="O1" s="1" t="s">
        <v>742</v>
      </c>
    </row>
    <row r="2" spans="1:15" x14ac:dyDescent="0.25">
      <c r="A2" s="1" t="s">
        <v>743</v>
      </c>
      <c r="B2" s="1" t="s">
        <v>510</v>
      </c>
      <c r="C2" s="1" t="s">
        <v>10</v>
      </c>
      <c r="D2" s="1" t="s">
        <v>511</v>
      </c>
      <c r="E2" s="1" t="s">
        <v>512</v>
      </c>
      <c r="F2" s="1" t="s">
        <v>98</v>
      </c>
      <c r="G2" s="1" t="s">
        <v>8</v>
      </c>
      <c r="H2" s="1" t="s">
        <v>744</v>
      </c>
      <c r="I2" s="1" t="s">
        <v>745</v>
      </c>
      <c r="J2" s="1" t="s">
        <v>746</v>
      </c>
      <c r="K2" s="1" t="s">
        <v>747</v>
      </c>
      <c r="L2" s="1" t="s">
        <v>748</v>
      </c>
      <c r="M2" s="1" t="s">
        <v>749</v>
      </c>
      <c r="N2" s="1" t="s">
        <v>750</v>
      </c>
      <c r="O2" s="2">
        <v>42981</v>
      </c>
    </row>
    <row r="3" spans="1:15" x14ac:dyDescent="0.25">
      <c r="A3" s="1" t="s">
        <v>759</v>
      </c>
      <c r="B3" s="1" t="s">
        <v>507</v>
      </c>
      <c r="C3" s="1" t="s">
        <v>10</v>
      </c>
      <c r="D3" s="1" t="s">
        <v>173</v>
      </c>
      <c r="E3" s="1" t="s">
        <v>508</v>
      </c>
      <c r="F3" s="1" t="s">
        <v>98</v>
      </c>
      <c r="G3" s="1" t="s">
        <v>8</v>
      </c>
      <c r="H3" s="1" t="s">
        <v>760</v>
      </c>
      <c r="I3" s="1" t="s">
        <v>761</v>
      </c>
      <c r="J3" s="1" t="s">
        <v>762</v>
      </c>
      <c r="K3" s="1" t="s">
        <v>763</v>
      </c>
      <c r="L3" s="1" t="s">
        <v>764</v>
      </c>
      <c r="M3" s="1" t="s">
        <v>765</v>
      </c>
      <c r="N3" s="1" t="s">
        <v>766</v>
      </c>
      <c r="O3" s="2">
        <v>42988</v>
      </c>
    </row>
    <row r="4" spans="1:15" x14ac:dyDescent="0.25">
      <c r="A4" s="1" t="s">
        <v>775</v>
      </c>
      <c r="B4" s="1" t="s">
        <v>504</v>
      </c>
      <c r="C4" s="1" t="s">
        <v>10</v>
      </c>
      <c r="D4" s="1" t="s">
        <v>173</v>
      </c>
      <c r="E4" s="1" t="s">
        <v>505</v>
      </c>
      <c r="F4" s="1" t="s">
        <v>98</v>
      </c>
      <c r="G4" s="1" t="s">
        <v>8</v>
      </c>
      <c r="H4" s="1" t="s">
        <v>760</v>
      </c>
      <c r="I4" s="1" t="s">
        <v>761</v>
      </c>
      <c r="J4" s="1" t="s">
        <v>762</v>
      </c>
      <c r="K4" s="1" t="s">
        <v>763</v>
      </c>
      <c r="L4" s="1" t="s">
        <v>764</v>
      </c>
      <c r="M4" s="1" t="s">
        <v>765</v>
      </c>
      <c r="N4" s="1" t="s">
        <v>505</v>
      </c>
      <c r="O4" s="2">
        <v>42994</v>
      </c>
    </row>
    <row r="5" spans="1:15" x14ac:dyDescent="0.25">
      <c r="A5" s="1" t="s">
        <v>776</v>
      </c>
      <c r="B5" s="1" t="s">
        <v>501</v>
      </c>
      <c r="C5" s="1" t="s">
        <v>10</v>
      </c>
      <c r="D5" s="1" t="s">
        <v>173</v>
      </c>
      <c r="E5" s="1" t="s">
        <v>502</v>
      </c>
      <c r="F5" s="1" t="s">
        <v>98</v>
      </c>
      <c r="G5" s="1" t="s">
        <v>8</v>
      </c>
      <c r="H5" s="1" t="s">
        <v>760</v>
      </c>
      <c r="I5" s="1" t="s">
        <v>761</v>
      </c>
      <c r="J5" s="1" t="s">
        <v>762</v>
      </c>
      <c r="K5" s="1" t="s">
        <v>763</v>
      </c>
      <c r="L5" s="1" t="s">
        <v>764</v>
      </c>
      <c r="M5" s="1" t="s">
        <v>765</v>
      </c>
      <c r="N5" s="1" t="s">
        <v>777</v>
      </c>
      <c r="O5" s="2">
        <v>43004</v>
      </c>
    </row>
    <row r="6" spans="1:15" x14ac:dyDescent="0.25">
      <c r="A6" s="1" t="s">
        <v>767</v>
      </c>
      <c r="B6" s="1" t="s">
        <v>493</v>
      </c>
      <c r="C6" s="1" t="s">
        <v>10</v>
      </c>
      <c r="D6" s="1" t="s">
        <v>494</v>
      </c>
      <c r="E6" s="1" t="s">
        <v>495</v>
      </c>
      <c r="F6" s="1" t="s">
        <v>768</v>
      </c>
      <c r="G6" s="1" t="s">
        <v>8</v>
      </c>
      <c r="H6" s="1" t="s">
        <v>769</v>
      </c>
      <c r="I6" s="1" t="s">
        <v>770</v>
      </c>
      <c r="J6" s="1" t="s">
        <v>771</v>
      </c>
      <c r="K6" s="1" t="s">
        <v>772</v>
      </c>
      <c r="L6" s="1" t="s">
        <v>773</v>
      </c>
      <c r="M6" s="1" t="s">
        <v>774</v>
      </c>
      <c r="N6" s="1" t="s">
        <v>495</v>
      </c>
      <c r="O6" s="2">
        <v>42977</v>
      </c>
    </row>
    <row r="7" spans="1:15" x14ac:dyDescent="0.25">
      <c r="A7" s="1" t="s">
        <v>778</v>
      </c>
      <c r="B7" s="1" t="s">
        <v>490</v>
      </c>
      <c r="C7" s="1" t="s">
        <v>10</v>
      </c>
      <c r="D7" s="1" t="s">
        <v>173</v>
      </c>
      <c r="E7" s="1" t="s">
        <v>491</v>
      </c>
      <c r="F7" s="1" t="s">
        <v>98</v>
      </c>
      <c r="G7" s="1" t="s">
        <v>8</v>
      </c>
      <c r="H7" s="1" t="s">
        <v>760</v>
      </c>
      <c r="I7" s="1" t="s">
        <v>761</v>
      </c>
      <c r="J7" s="1" t="s">
        <v>762</v>
      </c>
      <c r="K7" s="1" t="s">
        <v>763</v>
      </c>
      <c r="L7" s="1" t="s">
        <v>764</v>
      </c>
      <c r="M7" s="1" t="s">
        <v>765</v>
      </c>
      <c r="N7" s="1" t="s">
        <v>491</v>
      </c>
      <c r="O7" s="2">
        <v>42972</v>
      </c>
    </row>
    <row r="8" spans="1:15" x14ac:dyDescent="0.25">
      <c r="A8" s="1" t="s">
        <v>751</v>
      </c>
      <c r="B8" s="1" t="s">
        <v>484</v>
      </c>
      <c r="C8" s="1" t="s">
        <v>10</v>
      </c>
      <c r="D8" s="1" t="s">
        <v>485</v>
      </c>
      <c r="E8" s="1" t="s">
        <v>486</v>
      </c>
      <c r="F8" s="1" t="s">
        <v>752</v>
      </c>
      <c r="G8" s="1" t="s">
        <v>8</v>
      </c>
      <c r="H8" s="1" t="s">
        <v>753</v>
      </c>
      <c r="I8" s="1" t="s">
        <v>754</v>
      </c>
      <c r="J8" s="1" t="s">
        <v>755</v>
      </c>
      <c r="K8" s="1" t="s">
        <v>756</v>
      </c>
      <c r="L8" s="1" t="s">
        <v>757</v>
      </c>
      <c r="M8" s="1" t="s">
        <v>758</v>
      </c>
      <c r="N8" s="1" t="s">
        <v>42</v>
      </c>
      <c r="O8" s="2">
        <v>42917</v>
      </c>
    </row>
    <row r="9" spans="1:15" x14ac:dyDescent="0.25">
      <c r="A9" s="1" t="s">
        <v>843</v>
      </c>
      <c r="B9" s="1" t="s">
        <v>475</v>
      </c>
      <c r="C9" s="1" t="s">
        <v>10</v>
      </c>
      <c r="D9" s="1" t="s">
        <v>452</v>
      </c>
      <c r="E9" s="1" t="s">
        <v>476</v>
      </c>
      <c r="F9" s="1" t="s">
        <v>844</v>
      </c>
      <c r="G9" s="1" t="s">
        <v>8</v>
      </c>
      <c r="H9" s="1" t="s">
        <v>845</v>
      </c>
      <c r="I9" s="1" t="s">
        <v>846</v>
      </c>
      <c r="J9" s="1" t="s">
        <v>847</v>
      </c>
      <c r="K9" s="1" t="s">
        <v>848</v>
      </c>
      <c r="L9" s="1" t="s">
        <v>849</v>
      </c>
      <c r="M9" s="1" t="s">
        <v>850</v>
      </c>
      <c r="N9" s="1" t="s">
        <v>844</v>
      </c>
      <c r="O9" s="2">
        <v>42979</v>
      </c>
    </row>
    <row r="10" spans="1:15" x14ac:dyDescent="0.25">
      <c r="A10" s="1" t="s">
        <v>851</v>
      </c>
      <c r="B10" s="1" t="s">
        <v>472</v>
      </c>
      <c r="C10" s="1" t="s">
        <v>10</v>
      </c>
      <c r="D10" s="1" t="s">
        <v>452</v>
      </c>
      <c r="E10" s="1" t="s">
        <v>473</v>
      </c>
      <c r="F10" s="1" t="s">
        <v>473</v>
      </c>
      <c r="G10" s="1" t="s">
        <v>8</v>
      </c>
      <c r="H10" s="1" t="s">
        <v>845</v>
      </c>
      <c r="I10" s="1" t="s">
        <v>846</v>
      </c>
      <c r="J10" s="1" t="s">
        <v>847</v>
      </c>
      <c r="K10" s="1" t="s">
        <v>848</v>
      </c>
      <c r="L10" s="1" t="s">
        <v>849</v>
      </c>
      <c r="M10" s="1" t="s">
        <v>850</v>
      </c>
      <c r="N10" s="1" t="s">
        <v>473</v>
      </c>
      <c r="O10" s="2">
        <v>42986</v>
      </c>
    </row>
    <row r="11" spans="1:15" x14ac:dyDescent="0.25">
      <c r="A11" s="1" t="s">
        <v>858</v>
      </c>
      <c r="B11" s="1" t="s">
        <v>451</v>
      </c>
      <c r="C11" s="1" t="s">
        <v>10</v>
      </c>
      <c r="D11" s="1" t="s">
        <v>452</v>
      </c>
      <c r="E11" s="1" t="s">
        <v>453</v>
      </c>
      <c r="F11" s="1" t="s">
        <v>453</v>
      </c>
      <c r="G11" s="1" t="s">
        <v>8</v>
      </c>
      <c r="H11" s="1" t="s">
        <v>845</v>
      </c>
      <c r="I11" s="1" t="s">
        <v>846</v>
      </c>
      <c r="J11" s="1" t="s">
        <v>847</v>
      </c>
      <c r="K11" s="1" t="s">
        <v>848</v>
      </c>
      <c r="L11" s="1" t="s">
        <v>849</v>
      </c>
      <c r="M11" s="1" t="s">
        <v>850</v>
      </c>
      <c r="N11" s="1" t="s">
        <v>453</v>
      </c>
      <c r="O11" s="2">
        <v>42993</v>
      </c>
    </row>
    <row r="12" spans="1:15" x14ac:dyDescent="0.25">
      <c r="A12" s="1" t="s">
        <v>866</v>
      </c>
      <c r="B12" s="1" t="s">
        <v>444</v>
      </c>
      <c r="C12" s="1" t="s">
        <v>10</v>
      </c>
      <c r="D12" s="1" t="s">
        <v>445</v>
      </c>
      <c r="E12" s="1" t="s">
        <v>446</v>
      </c>
      <c r="F12" s="1" t="s">
        <v>98</v>
      </c>
      <c r="G12" s="1" t="s">
        <v>8</v>
      </c>
      <c r="H12" s="1" t="s">
        <v>867</v>
      </c>
      <c r="I12" s="1" t="s">
        <v>868</v>
      </c>
      <c r="J12" s="1" t="s">
        <v>869</v>
      </c>
      <c r="K12" s="1" t="s">
        <v>870</v>
      </c>
      <c r="L12" s="1" t="s">
        <v>871</v>
      </c>
      <c r="M12" s="1" t="s">
        <v>872</v>
      </c>
      <c r="N12" s="1" t="s">
        <v>446</v>
      </c>
      <c r="O12" s="2">
        <v>43076</v>
      </c>
    </row>
    <row r="13" spans="1:15" x14ac:dyDescent="0.25">
      <c r="A13" s="1" t="s">
        <v>873</v>
      </c>
      <c r="B13" s="1" t="s">
        <v>441</v>
      </c>
      <c r="C13" s="1" t="s">
        <v>10</v>
      </c>
      <c r="D13" s="1" t="s">
        <v>432</v>
      </c>
      <c r="E13" s="1" t="s">
        <v>442</v>
      </c>
      <c r="F13" s="1" t="s">
        <v>98</v>
      </c>
      <c r="G13" s="1" t="s">
        <v>8</v>
      </c>
      <c r="H13" s="1" t="s">
        <v>874</v>
      </c>
      <c r="I13" s="1" t="s">
        <v>875</v>
      </c>
      <c r="J13" s="1" t="s">
        <v>876</v>
      </c>
      <c r="K13" s="1" t="s">
        <v>877</v>
      </c>
      <c r="L13" s="1" t="s">
        <v>878</v>
      </c>
      <c r="M13" s="1" t="s">
        <v>879</v>
      </c>
      <c r="N13" s="1" t="s">
        <v>880</v>
      </c>
      <c r="O13" s="2">
        <v>42975</v>
      </c>
    </row>
    <row r="14" spans="1:15" x14ac:dyDescent="0.25">
      <c r="A14" s="1" t="s">
        <v>881</v>
      </c>
      <c r="B14" s="1" t="s">
        <v>438</v>
      </c>
      <c r="C14" s="1" t="s">
        <v>10</v>
      </c>
      <c r="D14" s="1" t="s">
        <v>432</v>
      </c>
      <c r="E14" s="1" t="s">
        <v>439</v>
      </c>
      <c r="F14" s="1" t="s">
        <v>98</v>
      </c>
      <c r="G14" s="1" t="s">
        <v>8</v>
      </c>
      <c r="H14" s="1" t="s">
        <v>874</v>
      </c>
      <c r="I14" s="1" t="s">
        <v>875</v>
      </c>
      <c r="J14" s="1" t="s">
        <v>876</v>
      </c>
      <c r="K14" s="1" t="s">
        <v>877</v>
      </c>
      <c r="L14" s="1" t="s">
        <v>878</v>
      </c>
      <c r="M14" s="1" t="s">
        <v>879</v>
      </c>
      <c r="N14" s="1" t="s">
        <v>439</v>
      </c>
      <c r="O14" s="2">
        <v>42981</v>
      </c>
    </row>
    <row r="15" spans="1:15" x14ac:dyDescent="0.25">
      <c r="A15" s="1" t="s">
        <v>882</v>
      </c>
      <c r="B15" s="1" t="s">
        <v>435</v>
      </c>
      <c r="C15" s="1" t="s">
        <v>10</v>
      </c>
      <c r="D15" s="1" t="s">
        <v>301</v>
      </c>
      <c r="E15" s="1" t="s">
        <v>436</v>
      </c>
      <c r="F15" s="1" t="s">
        <v>518</v>
      </c>
      <c r="G15" s="1" t="s">
        <v>8</v>
      </c>
      <c r="H15" s="1" t="s">
        <v>883</v>
      </c>
      <c r="I15" s="1" t="s">
        <v>884</v>
      </c>
      <c r="J15" s="1" t="s">
        <v>885</v>
      </c>
      <c r="K15" s="1" t="s">
        <v>886</v>
      </c>
      <c r="L15" s="1" t="s">
        <v>887</v>
      </c>
      <c r="M15" s="1" t="s">
        <v>888</v>
      </c>
      <c r="N15" s="1" t="s">
        <v>436</v>
      </c>
      <c r="O15" s="2">
        <v>42985</v>
      </c>
    </row>
    <row r="16" spans="1:15" x14ac:dyDescent="0.25">
      <c r="A16" s="1" t="s">
        <v>896</v>
      </c>
      <c r="B16" s="1" t="s">
        <v>431</v>
      </c>
      <c r="C16" s="1" t="s">
        <v>10</v>
      </c>
      <c r="D16" s="1" t="s">
        <v>432</v>
      </c>
      <c r="E16" s="1" t="s">
        <v>433</v>
      </c>
      <c r="F16" s="1" t="s">
        <v>98</v>
      </c>
      <c r="G16" s="1" t="s">
        <v>8</v>
      </c>
      <c r="H16" s="1" t="s">
        <v>874</v>
      </c>
      <c r="I16" s="1" t="s">
        <v>875</v>
      </c>
      <c r="J16" s="1" t="s">
        <v>876</v>
      </c>
      <c r="K16" s="1" t="s">
        <v>877</v>
      </c>
      <c r="L16" s="1" t="s">
        <v>878</v>
      </c>
      <c r="M16" s="1" t="s">
        <v>879</v>
      </c>
      <c r="N16" s="1" t="s">
        <v>433</v>
      </c>
      <c r="O16" s="2">
        <v>43071</v>
      </c>
    </row>
    <row r="17" spans="1:15" x14ac:dyDescent="0.25">
      <c r="A17" s="1" t="s">
        <v>900</v>
      </c>
      <c r="B17" s="1" t="s">
        <v>424</v>
      </c>
      <c r="C17" s="1" t="s">
        <v>10</v>
      </c>
      <c r="D17" s="1" t="s">
        <v>425</v>
      </c>
      <c r="E17" s="1" t="s">
        <v>426</v>
      </c>
      <c r="F17" s="1" t="s">
        <v>901</v>
      </c>
      <c r="G17" s="1" t="s">
        <v>8</v>
      </c>
      <c r="H17" s="1" t="s">
        <v>902</v>
      </c>
      <c r="I17" s="1" t="s">
        <v>903</v>
      </c>
      <c r="J17" s="1" t="s">
        <v>904</v>
      </c>
      <c r="K17" s="1" t="s">
        <v>905</v>
      </c>
      <c r="L17" s="1" t="s">
        <v>906</v>
      </c>
      <c r="M17" s="1" t="s">
        <v>907</v>
      </c>
      <c r="N17" s="1" t="s">
        <v>692</v>
      </c>
      <c r="O17" s="2">
        <v>43003</v>
      </c>
    </row>
    <row r="18" spans="1:15" x14ac:dyDescent="0.25">
      <c r="A18" s="1" t="s">
        <v>908</v>
      </c>
      <c r="B18" s="1" t="s">
        <v>420</v>
      </c>
      <c r="C18" s="1" t="s">
        <v>10</v>
      </c>
      <c r="D18" s="1" t="s">
        <v>421</v>
      </c>
      <c r="E18" s="1" t="s">
        <v>422</v>
      </c>
      <c r="F18" s="1" t="s">
        <v>909</v>
      </c>
      <c r="G18" s="1" t="s">
        <v>8</v>
      </c>
      <c r="H18" s="1" t="s">
        <v>910</v>
      </c>
      <c r="I18" s="1" t="s">
        <v>911</v>
      </c>
      <c r="J18" s="1" t="s">
        <v>912</v>
      </c>
      <c r="K18" s="1" t="s">
        <v>913</v>
      </c>
      <c r="L18" s="1" t="s">
        <v>914</v>
      </c>
      <c r="M18" s="1" t="s">
        <v>915</v>
      </c>
      <c r="N18" s="1" t="s">
        <v>719</v>
      </c>
      <c r="O18" s="2">
        <v>42975</v>
      </c>
    </row>
    <row r="19" spans="1:15" x14ac:dyDescent="0.25">
      <c r="A19" s="1" t="s">
        <v>916</v>
      </c>
      <c r="B19" s="1" t="s">
        <v>416</v>
      </c>
      <c r="C19" s="1" t="s">
        <v>10</v>
      </c>
      <c r="D19" s="1" t="s">
        <v>417</v>
      </c>
      <c r="E19" s="1" t="s">
        <v>418</v>
      </c>
      <c r="F19" s="1" t="s">
        <v>917</v>
      </c>
      <c r="G19" s="1" t="s">
        <v>8</v>
      </c>
      <c r="H19" s="1" t="s">
        <v>918</v>
      </c>
      <c r="I19" s="1" t="s">
        <v>919</v>
      </c>
      <c r="J19" s="1" t="s">
        <v>920</v>
      </c>
      <c r="K19" s="1" t="s">
        <v>921</v>
      </c>
      <c r="L19" s="1" t="s">
        <v>922</v>
      </c>
      <c r="M19" s="1" t="s">
        <v>923</v>
      </c>
      <c r="N19" s="1" t="s">
        <v>418</v>
      </c>
      <c r="O19" s="2">
        <v>42990</v>
      </c>
    </row>
    <row r="20" spans="1:15" x14ac:dyDescent="0.25">
      <c r="A20" s="1" t="s">
        <v>924</v>
      </c>
      <c r="B20" s="1" t="s">
        <v>413</v>
      </c>
      <c r="C20" s="1" t="s">
        <v>10</v>
      </c>
      <c r="D20" s="1" t="s">
        <v>389</v>
      </c>
      <c r="E20" s="1" t="s">
        <v>414</v>
      </c>
      <c r="F20" s="1" t="s">
        <v>98</v>
      </c>
      <c r="G20" s="1" t="s">
        <v>8</v>
      </c>
      <c r="H20" s="1" t="s">
        <v>925</v>
      </c>
      <c r="I20" s="1" t="s">
        <v>926</v>
      </c>
      <c r="J20" s="1" t="s">
        <v>927</v>
      </c>
      <c r="K20" s="1" t="s">
        <v>928</v>
      </c>
      <c r="L20" s="1" t="s">
        <v>929</v>
      </c>
      <c r="M20" s="1" t="s">
        <v>930</v>
      </c>
      <c r="N20" s="1" t="s">
        <v>931</v>
      </c>
      <c r="O20" s="2">
        <v>42996</v>
      </c>
    </row>
    <row r="21" spans="1:15" x14ac:dyDescent="0.25">
      <c r="A21" s="1" t="s">
        <v>786</v>
      </c>
      <c r="B21" s="1" t="s">
        <v>407</v>
      </c>
      <c r="C21" s="1" t="s">
        <v>10</v>
      </c>
      <c r="D21" s="1" t="s">
        <v>385</v>
      </c>
      <c r="E21" s="1" t="s">
        <v>408</v>
      </c>
      <c r="F21" s="1" t="s">
        <v>787</v>
      </c>
      <c r="G21" s="1" t="s">
        <v>8</v>
      </c>
      <c r="H21" s="1" t="s">
        <v>527</v>
      </c>
      <c r="I21" s="1" t="s">
        <v>788</v>
      </c>
      <c r="J21" s="1" t="s">
        <v>789</v>
      </c>
      <c r="K21" s="1" t="s">
        <v>790</v>
      </c>
      <c r="L21" s="1" t="s">
        <v>791</v>
      </c>
      <c r="M21" s="1" t="s">
        <v>792</v>
      </c>
      <c r="N21" s="1" t="s">
        <v>793</v>
      </c>
      <c r="O21" s="2">
        <v>42868</v>
      </c>
    </row>
    <row r="22" spans="1:15" x14ac:dyDescent="0.25">
      <c r="A22" s="1" t="s">
        <v>932</v>
      </c>
      <c r="B22" s="1" t="s">
        <v>404</v>
      </c>
      <c r="C22" s="1" t="s">
        <v>10</v>
      </c>
      <c r="D22" s="1" t="s">
        <v>389</v>
      </c>
      <c r="E22" s="1" t="s">
        <v>405</v>
      </c>
      <c r="F22" s="1" t="s">
        <v>98</v>
      </c>
      <c r="G22" s="1" t="s">
        <v>8</v>
      </c>
      <c r="H22" s="1" t="s">
        <v>925</v>
      </c>
      <c r="I22" s="1" t="s">
        <v>926</v>
      </c>
      <c r="J22" s="1" t="s">
        <v>927</v>
      </c>
      <c r="K22" s="1" t="s">
        <v>928</v>
      </c>
      <c r="L22" s="1" t="s">
        <v>929</v>
      </c>
      <c r="M22" s="1" t="s">
        <v>930</v>
      </c>
      <c r="N22" s="1" t="s">
        <v>933</v>
      </c>
      <c r="O22" s="2">
        <v>42998</v>
      </c>
    </row>
    <row r="23" spans="1:15" x14ac:dyDescent="0.25">
      <c r="A23" s="1" t="s">
        <v>934</v>
      </c>
      <c r="B23" s="1" t="s">
        <v>401</v>
      </c>
      <c r="C23" s="1" t="s">
        <v>10</v>
      </c>
      <c r="D23" s="1" t="s">
        <v>385</v>
      </c>
      <c r="E23" s="1" t="s">
        <v>402</v>
      </c>
      <c r="F23" s="1" t="s">
        <v>532</v>
      </c>
      <c r="G23" s="1" t="s">
        <v>8</v>
      </c>
      <c r="H23" s="1" t="s">
        <v>527</v>
      </c>
      <c r="I23" s="1" t="s">
        <v>788</v>
      </c>
      <c r="J23" s="1" t="s">
        <v>789</v>
      </c>
      <c r="K23" s="1" t="s">
        <v>790</v>
      </c>
      <c r="L23" s="1" t="s">
        <v>791</v>
      </c>
      <c r="M23" s="1" t="s">
        <v>792</v>
      </c>
      <c r="N23" s="1" t="s">
        <v>402</v>
      </c>
      <c r="O23" s="2">
        <v>42867</v>
      </c>
    </row>
    <row r="24" spans="1:15" x14ac:dyDescent="0.25">
      <c r="A24" s="1" t="s">
        <v>935</v>
      </c>
      <c r="B24" s="1" t="s">
        <v>398</v>
      </c>
      <c r="C24" s="1" t="s">
        <v>10</v>
      </c>
      <c r="D24" s="1" t="s">
        <v>385</v>
      </c>
      <c r="E24" s="1" t="s">
        <v>399</v>
      </c>
      <c r="F24" s="1" t="s">
        <v>518</v>
      </c>
      <c r="G24" s="1" t="s">
        <v>8</v>
      </c>
      <c r="H24" s="1" t="s">
        <v>527</v>
      </c>
      <c r="I24" s="1" t="s">
        <v>788</v>
      </c>
      <c r="J24" s="1" t="s">
        <v>789</v>
      </c>
      <c r="K24" s="1" t="s">
        <v>790</v>
      </c>
      <c r="L24" s="1" t="s">
        <v>791</v>
      </c>
      <c r="M24" s="1" t="s">
        <v>792</v>
      </c>
      <c r="N24" s="1" t="s">
        <v>936</v>
      </c>
      <c r="O24" s="2">
        <v>42868</v>
      </c>
    </row>
    <row r="25" spans="1:15" x14ac:dyDescent="0.25">
      <c r="A25" s="1" t="s">
        <v>937</v>
      </c>
      <c r="B25" s="1" t="s">
        <v>395</v>
      </c>
      <c r="C25" s="1" t="s">
        <v>10</v>
      </c>
      <c r="D25" s="1" t="s">
        <v>301</v>
      </c>
      <c r="E25" s="1" t="s">
        <v>396</v>
      </c>
      <c r="F25" s="1" t="s">
        <v>518</v>
      </c>
      <c r="G25" s="1" t="s">
        <v>8</v>
      </c>
      <c r="H25" s="1" t="s">
        <v>883</v>
      </c>
      <c r="I25" s="1" t="s">
        <v>884</v>
      </c>
      <c r="J25" s="1" t="s">
        <v>885</v>
      </c>
      <c r="K25" s="1" t="s">
        <v>886</v>
      </c>
      <c r="L25" s="1" t="s">
        <v>887</v>
      </c>
      <c r="M25" s="1" t="s">
        <v>888</v>
      </c>
      <c r="N25" s="1" t="s">
        <v>396</v>
      </c>
      <c r="O25" s="2">
        <v>42984</v>
      </c>
    </row>
    <row r="26" spans="1:15" x14ac:dyDescent="0.25">
      <c r="A26" s="1" t="s">
        <v>938</v>
      </c>
      <c r="B26" s="1" t="s">
        <v>392</v>
      </c>
      <c r="C26" s="1" t="s">
        <v>10</v>
      </c>
      <c r="D26" s="1" t="s">
        <v>385</v>
      </c>
      <c r="E26" s="1" t="s">
        <v>393</v>
      </c>
      <c r="F26" s="1" t="s">
        <v>518</v>
      </c>
      <c r="G26" s="1" t="s">
        <v>8</v>
      </c>
      <c r="H26" s="1" t="s">
        <v>527</v>
      </c>
      <c r="I26" s="1" t="s">
        <v>788</v>
      </c>
      <c r="J26" s="1" t="s">
        <v>789</v>
      </c>
      <c r="K26" s="1" t="s">
        <v>790</v>
      </c>
      <c r="L26" s="1" t="s">
        <v>791</v>
      </c>
      <c r="M26" s="1" t="s">
        <v>792</v>
      </c>
      <c r="N26" s="1" t="s">
        <v>936</v>
      </c>
      <c r="O26" s="2">
        <v>42868</v>
      </c>
    </row>
    <row r="27" spans="1:15" x14ac:dyDescent="0.25">
      <c r="A27" s="1" t="s">
        <v>938</v>
      </c>
      <c r="B27" s="1" t="s">
        <v>388</v>
      </c>
      <c r="C27" s="1" t="s">
        <v>10</v>
      </c>
      <c r="D27" s="1" t="s">
        <v>389</v>
      </c>
      <c r="E27" s="1" t="s">
        <v>390</v>
      </c>
      <c r="F27" s="1" t="s">
        <v>939</v>
      </c>
      <c r="G27" s="1" t="s">
        <v>8</v>
      </c>
      <c r="H27" s="1" t="s">
        <v>925</v>
      </c>
      <c r="I27" s="1" t="s">
        <v>926</v>
      </c>
      <c r="J27" s="1" t="s">
        <v>927</v>
      </c>
      <c r="K27" s="1" t="s">
        <v>928</v>
      </c>
      <c r="L27" s="1" t="s">
        <v>929</v>
      </c>
      <c r="M27" s="1" t="s">
        <v>930</v>
      </c>
      <c r="N27" s="1" t="s">
        <v>940</v>
      </c>
      <c r="O27" s="2">
        <v>42980</v>
      </c>
    </row>
    <row r="28" spans="1:15" x14ac:dyDescent="0.25">
      <c r="A28" s="1" t="s">
        <v>941</v>
      </c>
      <c r="B28" s="1" t="s">
        <v>384</v>
      </c>
      <c r="C28" s="1" t="s">
        <v>10</v>
      </c>
      <c r="D28" s="1" t="s">
        <v>385</v>
      </c>
      <c r="E28" s="1" t="s">
        <v>386</v>
      </c>
      <c r="F28" s="1" t="s">
        <v>518</v>
      </c>
      <c r="G28" s="1" t="s">
        <v>8</v>
      </c>
      <c r="H28" s="1" t="s">
        <v>527</v>
      </c>
      <c r="I28" s="1" t="s">
        <v>788</v>
      </c>
      <c r="J28" s="1" t="s">
        <v>789</v>
      </c>
      <c r="K28" s="1" t="s">
        <v>790</v>
      </c>
      <c r="L28" s="1" t="s">
        <v>791</v>
      </c>
      <c r="M28" s="1" t="s">
        <v>792</v>
      </c>
      <c r="N28" s="1" t="s">
        <v>942</v>
      </c>
      <c r="O28" s="2">
        <v>43010</v>
      </c>
    </row>
    <row r="29" spans="1:15" x14ac:dyDescent="0.25">
      <c r="A29" s="1" t="s">
        <v>811</v>
      </c>
      <c r="B29" s="1" t="s">
        <v>381</v>
      </c>
      <c r="C29" s="1" t="s">
        <v>10</v>
      </c>
      <c r="D29" s="1" t="s">
        <v>382</v>
      </c>
      <c r="E29" s="1" t="s">
        <v>42</v>
      </c>
      <c r="F29" s="1" t="s">
        <v>812</v>
      </c>
      <c r="G29" s="1" t="s">
        <v>8</v>
      </c>
      <c r="H29" s="1" t="s">
        <v>813</v>
      </c>
      <c r="I29" s="1" t="s">
        <v>814</v>
      </c>
      <c r="J29" s="1" t="s">
        <v>815</v>
      </c>
      <c r="K29" s="1" t="s">
        <v>816</v>
      </c>
      <c r="L29" s="1" t="s">
        <v>817</v>
      </c>
      <c r="M29" s="1" t="s">
        <v>818</v>
      </c>
      <c r="N29" s="1" t="s">
        <v>42</v>
      </c>
      <c r="O29" s="2">
        <v>42990</v>
      </c>
    </row>
    <row r="30" spans="1:15" x14ac:dyDescent="0.25">
      <c r="A30" s="1" t="s">
        <v>803</v>
      </c>
      <c r="B30" s="1" t="s">
        <v>375</v>
      </c>
      <c r="C30" s="1" t="s">
        <v>10</v>
      </c>
      <c r="D30" s="1" t="s">
        <v>376</v>
      </c>
      <c r="E30" s="1" t="s">
        <v>377</v>
      </c>
      <c r="F30" s="1" t="s">
        <v>98</v>
      </c>
      <c r="G30" s="1" t="s">
        <v>8</v>
      </c>
      <c r="H30" s="1" t="s">
        <v>804</v>
      </c>
      <c r="I30" s="1" t="s">
        <v>805</v>
      </c>
      <c r="J30" s="1" t="s">
        <v>806</v>
      </c>
      <c r="K30" s="1" t="s">
        <v>807</v>
      </c>
      <c r="L30" s="1" t="s">
        <v>808</v>
      </c>
      <c r="M30" s="1" t="s">
        <v>809</v>
      </c>
      <c r="N30" s="1" t="s">
        <v>810</v>
      </c>
      <c r="O30" s="2">
        <v>42973</v>
      </c>
    </row>
    <row r="31" spans="1:15" x14ac:dyDescent="0.25">
      <c r="A31" s="1" t="s">
        <v>943</v>
      </c>
      <c r="B31" s="1" t="s">
        <v>370</v>
      </c>
      <c r="C31" s="1" t="s">
        <v>10</v>
      </c>
      <c r="D31" s="1" t="s">
        <v>301</v>
      </c>
      <c r="E31" s="1" t="s">
        <v>371</v>
      </c>
      <c r="F31" s="1" t="s">
        <v>518</v>
      </c>
      <c r="G31" s="1" t="s">
        <v>8</v>
      </c>
      <c r="H31" s="1" t="s">
        <v>883</v>
      </c>
      <c r="I31" s="1" t="s">
        <v>884</v>
      </c>
      <c r="J31" s="1" t="s">
        <v>885</v>
      </c>
      <c r="K31" s="1" t="s">
        <v>886</v>
      </c>
      <c r="L31" s="1" t="s">
        <v>887</v>
      </c>
      <c r="M31" s="1" t="s">
        <v>888</v>
      </c>
      <c r="N31" s="1" t="s">
        <v>371</v>
      </c>
      <c r="O31" s="2">
        <v>42972</v>
      </c>
    </row>
    <row r="32" spans="1:15" x14ac:dyDescent="0.25">
      <c r="A32" s="1" t="s">
        <v>819</v>
      </c>
      <c r="B32" s="1" t="s">
        <v>364</v>
      </c>
      <c r="C32" s="1" t="s">
        <v>10</v>
      </c>
      <c r="D32" s="1" t="s">
        <v>355</v>
      </c>
      <c r="E32" s="1" t="s">
        <v>365</v>
      </c>
      <c r="F32" s="1" t="s">
        <v>664</v>
      </c>
      <c r="G32" s="1" t="s">
        <v>8</v>
      </c>
      <c r="H32" s="1" t="s">
        <v>820</v>
      </c>
      <c r="I32" s="1" t="s">
        <v>821</v>
      </c>
      <c r="J32" s="1" t="s">
        <v>822</v>
      </c>
      <c r="K32" s="1" t="s">
        <v>823</v>
      </c>
      <c r="L32" s="1" t="s">
        <v>824</v>
      </c>
      <c r="M32" s="1" t="s">
        <v>825</v>
      </c>
      <c r="N32" s="1" t="s">
        <v>664</v>
      </c>
      <c r="O32" s="2">
        <v>42975</v>
      </c>
    </row>
    <row r="33" spans="1:15" x14ac:dyDescent="0.25">
      <c r="A33" s="1" t="s">
        <v>819</v>
      </c>
      <c r="B33" s="1" t="s">
        <v>361</v>
      </c>
      <c r="C33" s="1" t="s">
        <v>10</v>
      </c>
      <c r="D33" s="1" t="s">
        <v>355</v>
      </c>
      <c r="E33" s="1" t="s">
        <v>362</v>
      </c>
      <c r="F33" s="1" t="s">
        <v>665</v>
      </c>
      <c r="G33" s="1" t="s">
        <v>8</v>
      </c>
      <c r="H33" s="1" t="s">
        <v>820</v>
      </c>
      <c r="I33" s="1" t="s">
        <v>821</v>
      </c>
      <c r="J33" s="1" t="s">
        <v>822</v>
      </c>
      <c r="K33" s="1" t="s">
        <v>823</v>
      </c>
      <c r="L33" s="1" t="s">
        <v>824</v>
      </c>
      <c r="M33" s="1" t="s">
        <v>825</v>
      </c>
      <c r="N33" s="1" t="s">
        <v>665</v>
      </c>
      <c r="O33" s="2">
        <v>42979</v>
      </c>
    </row>
    <row r="34" spans="1:15" x14ac:dyDescent="0.25">
      <c r="A34" s="1" t="s">
        <v>819</v>
      </c>
      <c r="B34" s="1" t="s">
        <v>358</v>
      </c>
      <c r="C34" s="1" t="s">
        <v>10</v>
      </c>
      <c r="D34" s="1" t="s">
        <v>355</v>
      </c>
      <c r="E34" s="1" t="s">
        <v>359</v>
      </c>
      <c r="F34" s="1" t="s">
        <v>665</v>
      </c>
      <c r="G34" s="1" t="s">
        <v>8</v>
      </c>
      <c r="H34" s="1" t="s">
        <v>820</v>
      </c>
      <c r="I34" s="1" t="s">
        <v>821</v>
      </c>
      <c r="J34" s="1" t="s">
        <v>822</v>
      </c>
      <c r="K34" s="1" t="s">
        <v>823</v>
      </c>
      <c r="L34" s="1" t="s">
        <v>824</v>
      </c>
      <c r="M34" s="1" t="s">
        <v>825</v>
      </c>
      <c r="N34" s="1" t="s">
        <v>665</v>
      </c>
      <c r="O34" s="2">
        <v>43009</v>
      </c>
    </row>
    <row r="35" spans="1:15" x14ac:dyDescent="0.25">
      <c r="A35" s="1" t="s">
        <v>819</v>
      </c>
      <c r="B35" s="1" t="s">
        <v>354</v>
      </c>
      <c r="C35" s="1" t="s">
        <v>10</v>
      </c>
      <c r="D35" s="1" t="s">
        <v>355</v>
      </c>
      <c r="E35" s="1" t="s">
        <v>356</v>
      </c>
      <c r="F35" s="1" t="s">
        <v>665</v>
      </c>
      <c r="G35" s="1" t="s">
        <v>8</v>
      </c>
      <c r="H35" s="1" t="s">
        <v>820</v>
      </c>
      <c r="I35" s="1" t="s">
        <v>821</v>
      </c>
      <c r="J35" s="1" t="s">
        <v>822</v>
      </c>
      <c r="K35" s="1" t="s">
        <v>823</v>
      </c>
      <c r="L35" s="1" t="s">
        <v>824</v>
      </c>
      <c r="M35" s="1" t="s">
        <v>825</v>
      </c>
      <c r="N35" s="1" t="s">
        <v>665</v>
      </c>
      <c r="O35" s="2">
        <v>43040</v>
      </c>
    </row>
    <row r="36" spans="1:15" x14ac:dyDescent="0.25">
      <c r="A36" s="1" t="s">
        <v>819</v>
      </c>
      <c r="B36" s="1" t="s">
        <v>364</v>
      </c>
      <c r="C36" s="1" t="s">
        <v>10</v>
      </c>
      <c r="D36" s="1" t="s">
        <v>355</v>
      </c>
      <c r="E36" s="1" t="s">
        <v>365</v>
      </c>
      <c r="F36" s="1" t="s">
        <v>662</v>
      </c>
      <c r="G36" s="1" t="s">
        <v>8</v>
      </c>
      <c r="H36" s="1" t="s">
        <v>820</v>
      </c>
      <c r="I36" s="1" t="s">
        <v>821</v>
      </c>
      <c r="J36" s="1" t="s">
        <v>822</v>
      </c>
      <c r="K36" s="1" t="s">
        <v>823</v>
      </c>
      <c r="L36" s="1" t="s">
        <v>824</v>
      </c>
      <c r="M36" s="1" t="s">
        <v>825</v>
      </c>
      <c r="N36" s="1" t="s">
        <v>662</v>
      </c>
      <c r="O36" s="2">
        <v>42975</v>
      </c>
    </row>
    <row r="37" spans="1:15" x14ac:dyDescent="0.25">
      <c r="A37" s="1" t="s">
        <v>819</v>
      </c>
      <c r="B37" s="1" t="s">
        <v>364</v>
      </c>
      <c r="C37" s="1" t="s">
        <v>10</v>
      </c>
      <c r="D37" s="1" t="s">
        <v>355</v>
      </c>
      <c r="E37" s="1" t="s">
        <v>365</v>
      </c>
      <c r="F37" s="1" t="s">
        <v>663</v>
      </c>
      <c r="G37" s="1" t="s">
        <v>8</v>
      </c>
      <c r="H37" s="1" t="s">
        <v>820</v>
      </c>
      <c r="I37" s="1" t="s">
        <v>821</v>
      </c>
      <c r="J37" s="1" t="s">
        <v>822</v>
      </c>
      <c r="K37" s="1" t="s">
        <v>823</v>
      </c>
      <c r="L37" s="1" t="s">
        <v>824</v>
      </c>
      <c r="M37" s="1" t="s">
        <v>825</v>
      </c>
      <c r="N37" s="1" t="s">
        <v>663</v>
      </c>
      <c r="O37" s="2">
        <v>42975</v>
      </c>
    </row>
    <row r="38" spans="1:15" x14ac:dyDescent="0.25">
      <c r="A38" s="1" t="s">
        <v>819</v>
      </c>
      <c r="B38" s="1" t="s">
        <v>361</v>
      </c>
      <c r="C38" s="1" t="s">
        <v>10</v>
      </c>
      <c r="D38" s="1" t="s">
        <v>355</v>
      </c>
      <c r="E38" s="1" t="s">
        <v>362</v>
      </c>
      <c r="F38" s="1" t="s">
        <v>666</v>
      </c>
      <c r="G38" s="1" t="s">
        <v>8</v>
      </c>
      <c r="H38" s="1" t="s">
        <v>820</v>
      </c>
      <c r="I38" s="1" t="s">
        <v>821</v>
      </c>
      <c r="J38" s="1" t="s">
        <v>822</v>
      </c>
      <c r="K38" s="1" t="s">
        <v>823</v>
      </c>
      <c r="L38" s="1" t="s">
        <v>824</v>
      </c>
      <c r="M38" s="1" t="s">
        <v>825</v>
      </c>
      <c r="N38" s="1" t="s">
        <v>666</v>
      </c>
      <c r="O38" s="2">
        <v>42979</v>
      </c>
    </row>
    <row r="39" spans="1:15" x14ac:dyDescent="0.25">
      <c r="A39" s="1" t="s">
        <v>819</v>
      </c>
      <c r="B39" s="1" t="s">
        <v>358</v>
      </c>
      <c r="C39" s="1" t="s">
        <v>10</v>
      </c>
      <c r="D39" s="1" t="s">
        <v>355</v>
      </c>
      <c r="E39" s="1" t="s">
        <v>359</v>
      </c>
      <c r="F39" s="1" t="s">
        <v>666</v>
      </c>
      <c r="G39" s="1" t="s">
        <v>8</v>
      </c>
      <c r="H39" s="1" t="s">
        <v>820</v>
      </c>
      <c r="I39" s="1" t="s">
        <v>821</v>
      </c>
      <c r="J39" s="1" t="s">
        <v>822</v>
      </c>
      <c r="K39" s="1" t="s">
        <v>823</v>
      </c>
      <c r="L39" s="1" t="s">
        <v>824</v>
      </c>
      <c r="M39" s="1" t="s">
        <v>825</v>
      </c>
      <c r="N39" s="1" t="s">
        <v>666</v>
      </c>
      <c r="O39" s="2">
        <v>43009</v>
      </c>
    </row>
    <row r="40" spans="1:15" x14ac:dyDescent="0.25">
      <c r="A40" s="1" t="s">
        <v>819</v>
      </c>
      <c r="B40" s="1" t="s">
        <v>354</v>
      </c>
      <c r="C40" s="1" t="s">
        <v>10</v>
      </c>
      <c r="D40" s="1" t="s">
        <v>355</v>
      </c>
      <c r="E40" s="1" t="s">
        <v>356</v>
      </c>
      <c r="F40" s="1" t="s">
        <v>666</v>
      </c>
      <c r="G40" s="1" t="s">
        <v>8</v>
      </c>
      <c r="H40" s="1" t="s">
        <v>820</v>
      </c>
      <c r="I40" s="1" t="s">
        <v>821</v>
      </c>
      <c r="J40" s="1" t="s">
        <v>822</v>
      </c>
      <c r="K40" s="1" t="s">
        <v>823</v>
      </c>
      <c r="L40" s="1" t="s">
        <v>824</v>
      </c>
      <c r="M40" s="1" t="s">
        <v>825</v>
      </c>
      <c r="N40" s="1" t="s">
        <v>666</v>
      </c>
      <c r="O40" s="2">
        <v>43040</v>
      </c>
    </row>
    <row r="41" spans="1:15" x14ac:dyDescent="0.25">
      <c r="A41" s="1" t="s">
        <v>951</v>
      </c>
      <c r="B41" s="1" t="s">
        <v>344</v>
      </c>
      <c r="C41" s="1" t="s">
        <v>10</v>
      </c>
      <c r="D41" s="1" t="s">
        <v>345</v>
      </c>
      <c r="E41" s="1" t="s">
        <v>346</v>
      </c>
      <c r="F41" s="1" t="s">
        <v>952</v>
      </c>
      <c r="G41" s="1" t="s">
        <v>8</v>
      </c>
      <c r="H41" s="1" t="s">
        <v>953</v>
      </c>
      <c r="I41" s="1" t="s">
        <v>954</v>
      </c>
      <c r="J41" s="1" t="s">
        <v>955</v>
      </c>
      <c r="K41" s="1" t="s">
        <v>956</v>
      </c>
      <c r="L41" s="1" t="s">
        <v>957</v>
      </c>
      <c r="M41" s="1" t="s">
        <v>958</v>
      </c>
      <c r="N41" s="1" t="s">
        <v>346</v>
      </c>
      <c r="O41" s="2">
        <v>43028</v>
      </c>
    </row>
    <row r="42" spans="1:15" x14ac:dyDescent="0.25">
      <c r="A42" s="1" t="s">
        <v>852</v>
      </c>
      <c r="B42" s="1" t="s">
        <v>470</v>
      </c>
      <c r="C42" s="1" t="s">
        <v>30</v>
      </c>
      <c r="D42" s="1" t="s">
        <v>452</v>
      </c>
      <c r="E42" s="1" t="s">
        <v>453</v>
      </c>
      <c r="F42" s="1" t="s">
        <v>453</v>
      </c>
      <c r="G42" s="1" t="s">
        <v>8</v>
      </c>
      <c r="H42" s="1" t="s">
        <v>845</v>
      </c>
      <c r="I42" s="1" t="s">
        <v>846</v>
      </c>
      <c r="J42" s="1" t="s">
        <v>847</v>
      </c>
      <c r="K42" s="1" t="s">
        <v>848</v>
      </c>
      <c r="L42" s="1" t="s">
        <v>849</v>
      </c>
      <c r="M42" s="1" t="s">
        <v>850</v>
      </c>
      <c r="N42" s="1" t="s">
        <v>453</v>
      </c>
      <c r="O42" s="2">
        <v>42993</v>
      </c>
    </row>
    <row r="43" spans="1:15" x14ac:dyDescent="0.25">
      <c r="A43" s="1" t="s">
        <v>853</v>
      </c>
      <c r="B43" s="1" t="s">
        <v>467</v>
      </c>
      <c r="C43" s="1" t="s">
        <v>10</v>
      </c>
      <c r="D43" s="1" t="s">
        <v>452</v>
      </c>
      <c r="E43" s="1" t="s">
        <v>468</v>
      </c>
      <c r="F43" s="1" t="s">
        <v>468</v>
      </c>
      <c r="G43" s="1" t="s">
        <v>8</v>
      </c>
      <c r="H43" s="1" t="s">
        <v>845</v>
      </c>
      <c r="I43" s="1" t="s">
        <v>846</v>
      </c>
      <c r="J43" s="1" t="s">
        <v>847</v>
      </c>
      <c r="K43" s="1" t="s">
        <v>848</v>
      </c>
      <c r="L43" s="1" t="s">
        <v>849</v>
      </c>
      <c r="M43" s="1" t="s">
        <v>850</v>
      </c>
      <c r="N43" s="1" t="s">
        <v>468</v>
      </c>
      <c r="O43" s="2">
        <v>43000</v>
      </c>
    </row>
    <row r="44" spans="1:15" x14ac:dyDescent="0.25">
      <c r="A44" s="1" t="s">
        <v>854</v>
      </c>
      <c r="B44" s="1" t="s">
        <v>464</v>
      </c>
      <c r="C44" s="1" t="s">
        <v>10</v>
      </c>
      <c r="D44" s="1" t="s">
        <v>452</v>
      </c>
      <c r="E44" s="1" t="s">
        <v>465</v>
      </c>
      <c r="F44" s="1" t="s">
        <v>465</v>
      </c>
      <c r="G44" s="1" t="s">
        <v>8</v>
      </c>
      <c r="H44" s="1" t="s">
        <v>845</v>
      </c>
      <c r="I44" s="1" t="s">
        <v>846</v>
      </c>
      <c r="J44" s="1" t="s">
        <v>847</v>
      </c>
      <c r="K44" s="1" t="s">
        <v>848</v>
      </c>
      <c r="L44" s="1" t="s">
        <v>849</v>
      </c>
      <c r="M44" s="1" t="s">
        <v>850</v>
      </c>
      <c r="N44" s="1" t="s">
        <v>465</v>
      </c>
      <c r="O44" s="2">
        <v>43015</v>
      </c>
    </row>
    <row r="45" spans="1:15" x14ac:dyDescent="0.25">
      <c r="A45" s="1" t="s">
        <v>855</v>
      </c>
      <c r="B45" s="1" t="s">
        <v>461</v>
      </c>
      <c r="C45" s="1" t="s">
        <v>10</v>
      </c>
      <c r="D45" s="1" t="s">
        <v>452</v>
      </c>
      <c r="E45" s="1" t="s">
        <v>462</v>
      </c>
      <c r="F45" s="1" t="s">
        <v>462</v>
      </c>
      <c r="G45" s="1" t="s">
        <v>8</v>
      </c>
      <c r="H45" s="1" t="s">
        <v>845</v>
      </c>
      <c r="I45" s="1" t="s">
        <v>846</v>
      </c>
      <c r="J45" s="1" t="s">
        <v>847</v>
      </c>
      <c r="K45" s="1" t="s">
        <v>848</v>
      </c>
      <c r="L45" s="1" t="s">
        <v>849</v>
      </c>
      <c r="M45" s="1" t="s">
        <v>850</v>
      </c>
      <c r="N45" s="1" t="s">
        <v>462</v>
      </c>
      <c r="O45" s="2">
        <v>43021</v>
      </c>
    </row>
    <row r="46" spans="1:15" x14ac:dyDescent="0.25">
      <c r="A46" s="1" t="s">
        <v>856</v>
      </c>
      <c r="B46" s="1" t="s">
        <v>458</v>
      </c>
      <c r="C46" s="1" t="s">
        <v>10</v>
      </c>
      <c r="D46" s="1" t="s">
        <v>452</v>
      </c>
      <c r="E46" s="1" t="s">
        <v>459</v>
      </c>
      <c r="F46" s="1" t="s">
        <v>459</v>
      </c>
      <c r="G46" s="1" t="s">
        <v>8</v>
      </c>
      <c r="H46" s="1" t="s">
        <v>845</v>
      </c>
      <c r="I46" s="1" t="s">
        <v>846</v>
      </c>
      <c r="J46" s="1" t="s">
        <v>847</v>
      </c>
      <c r="K46" s="1" t="s">
        <v>848</v>
      </c>
      <c r="L46" s="1" t="s">
        <v>849</v>
      </c>
      <c r="M46" s="1" t="s">
        <v>850</v>
      </c>
      <c r="N46" s="1" t="s">
        <v>459</v>
      </c>
      <c r="O46" s="2">
        <v>43028</v>
      </c>
    </row>
    <row r="47" spans="1:15" x14ac:dyDescent="0.25">
      <c r="A47" s="1" t="s">
        <v>857</v>
      </c>
      <c r="B47" s="1" t="s">
        <v>455</v>
      </c>
      <c r="C47" s="1" t="s">
        <v>10</v>
      </c>
      <c r="D47" s="1" t="s">
        <v>452</v>
      </c>
      <c r="E47" s="1" t="s">
        <v>456</v>
      </c>
      <c r="F47" s="1" t="s">
        <v>456</v>
      </c>
      <c r="G47" s="1" t="s">
        <v>8</v>
      </c>
      <c r="H47" s="1" t="s">
        <v>845</v>
      </c>
      <c r="I47" s="1" t="s">
        <v>846</v>
      </c>
      <c r="J47" s="1" t="s">
        <v>847</v>
      </c>
      <c r="K47" s="1" t="s">
        <v>848</v>
      </c>
      <c r="L47" s="1" t="s">
        <v>849</v>
      </c>
      <c r="M47" s="1" t="s">
        <v>850</v>
      </c>
      <c r="N47" s="1" t="s">
        <v>456</v>
      </c>
      <c r="O47" s="2">
        <v>43035</v>
      </c>
    </row>
    <row r="48" spans="1:15" x14ac:dyDescent="0.25">
      <c r="A48" s="1" t="s">
        <v>982</v>
      </c>
      <c r="B48" s="1" t="s">
        <v>207</v>
      </c>
      <c r="C48" s="1" t="s">
        <v>10</v>
      </c>
      <c r="D48" s="1" t="s">
        <v>208</v>
      </c>
      <c r="E48" s="1" t="s">
        <v>209</v>
      </c>
      <c r="F48" s="1" t="s">
        <v>812</v>
      </c>
      <c r="G48" s="1" t="s">
        <v>8</v>
      </c>
      <c r="H48" s="1" t="s">
        <v>983</v>
      </c>
      <c r="I48" s="1" t="s">
        <v>984</v>
      </c>
      <c r="J48" s="1" t="s">
        <v>985</v>
      </c>
      <c r="K48" s="1" t="s">
        <v>986</v>
      </c>
      <c r="L48" s="1" t="s">
        <v>987</v>
      </c>
      <c r="M48" s="1" t="s">
        <v>988</v>
      </c>
      <c r="N48" s="1" t="s">
        <v>42</v>
      </c>
      <c r="O48" s="2">
        <v>42975</v>
      </c>
    </row>
    <row r="49" spans="1:15" x14ac:dyDescent="0.25">
      <c r="A49" s="1" t="s">
        <v>1047</v>
      </c>
      <c r="B49" s="1" t="s">
        <v>200</v>
      </c>
      <c r="C49" s="1" t="s">
        <v>10</v>
      </c>
      <c r="D49" s="1" t="s">
        <v>197</v>
      </c>
      <c r="E49" s="1" t="s">
        <v>201</v>
      </c>
      <c r="F49" s="1" t="s">
        <v>1048</v>
      </c>
      <c r="G49" s="1" t="s">
        <v>8</v>
      </c>
      <c r="H49" s="1" t="s">
        <v>1049</v>
      </c>
      <c r="I49" s="1" t="s">
        <v>1050</v>
      </c>
      <c r="J49" s="1" t="s">
        <v>1051</v>
      </c>
      <c r="K49" s="1" t="s">
        <v>1052</v>
      </c>
      <c r="L49" s="1" t="s">
        <v>1053</v>
      </c>
      <c r="M49" s="1" t="s">
        <v>1054</v>
      </c>
      <c r="N49" s="1" t="s">
        <v>42</v>
      </c>
      <c r="O49" s="2">
        <v>42917</v>
      </c>
    </row>
    <row r="50" spans="1:15" x14ac:dyDescent="0.25">
      <c r="A50" s="1" t="s">
        <v>1047</v>
      </c>
      <c r="B50" s="1" t="s">
        <v>196</v>
      </c>
      <c r="C50" s="1" t="s">
        <v>10</v>
      </c>
      <c r="D50" s="1" t="s">
        <v>197</v>
      </c>
      <c r="E50" s="1" t="s">
        <v>198</v>
      </c>
      <c r="F50" s="1" t="s">
        <v>1062</v>
      </c>
      <c r="G50" s="1" t="s">
        <v>8</v>
      </c>
      <c r="H50" s="1" t="s">
        <v>1049</v>
      </c>
      <c r="I50" s="1" t="s">
        <v>1050</v>
      </c>
      <c r="J50" s="1" t="s">
        <v>1051</v>
      </c>
      <c r="K50" s="1" t="s">
        <v>1052</v>
      </c>
      <c r="L50" s="1" t="s">
        <v>1053</v>
      </c>
      <c r="M50" s="1" t="s">
        <v>1054</v>
      </c>
      <c r="N50" s="1" t="s">
        <v>1063</v>
      </c>
      <c r="O50" s="2">
        <v>43000</v>
      </c>
    </row>
    <row r="51" spans="1:15" x14ac:dyDescent="0.25">
      <c r="A51" s="1" t="s">
        <v>1085</v>
      </c>
      <c r="B51" s="1" t="s">
        <v>190</v>
      </c>
      <c r="C51" s="1" t="s">
        <v>10</v>
      </c>
      <c r="D51" s="1" t="s">
        <v>173</v>
      </c>
      <c r="E51" s="1" t="s">
        <v>191</v>
      </c>
      <c r="F51" s="1" t="s">
        <v>98</v>
      </c>
      <c r="G51" s="1" t="s">
        <v>8</v>
      </c>
      <c r="H51" s="1" t="s">
        <v>760</v>
      </c>
      <c r="I51" s="1" t="s">
        <v>761</v>
      </c>
      <c r="J51" s="1" t="s">
        <v>762</v>
      </c>
      <c r="K51" s="1" t="s">
        <v>763</v>
      </c>
      <c r="L51" s="1" t="s">
        <v>764</v>
      </c>
      <c r="M51" s="1" t="s">
        <v>765</v>
      </c>
      <c r="N51" s="1" t="s">
        <v>777</v>
      </c>
      <c r="O51" s="2">
        <v>43004</v>
      </c>
    </row>
    <row r="52" spans="1:15" x14ac:dyDescent="0.25">
      <c r="A52" s="1" t="s">
        <v>1086</v>
      </c>
      <c r="B52" s="1" t="s">
        <v>183</v>
      </c>
      <c r="C52" s="1" t="s">
        <v>10</v>
      </c>
      <c r="D52" s="1" t="s">
        <v>184</v>
      </c>
      <c r="E52" s="1" t="s">
        <v>185</v>
      </c>
      <c r="F52" s="1" t="s">
        <v>1087</v>
      </c>
      <c r="G52" s="1" t="s">
        <v>8</v>
      </c>
      <c r="H52" s="1" t="s">
        <v>1088</v>
      </c>
      <c r="I52" s="1" t="s">
        <v>1089</v>
      </c>
      <c r="J52" s="1" t="s">
        <v>1090</v>
      </c>
      <c r="K52" s="1" t="s">
        <v>1091</v>
      </c>
      <c r="L52" s="1" t="s">
        <v>1092</v>
      </c>
      <c r="M52" s="1" t="s">
        <v>1093</v>
      </c>
      <c r="N52" s="1" t="s">
        <v>42</v>
      </c>
      <c r="O52" s="2">
        <v>42926</v>
      </c>
    </row>
    <row r="53" spans="1:15" x14ac:dyDescent="0.25">
      <c r="A53" s="1" t="s">
        <v>1001</v>
      </c>
      <c r="B53" s="1" t="s">
        <v>330</v>
      </c>
      <c r="C53" s="1" t="s">
        <v>10</v>
      </c>
      <c r="D53" s="1" t="s">
        <v>331</v>
      </c>
      <c r="E53" s="1" t="s">
        <v>332</v>
      </c>
      <c r="F53" s="1" t="s">
        <v>1002</v>
      </c>
      <c r="G53" s="1" t="s">
        <v>8</v>
      </c>
      <c r="H53" s="1" t="s">
        <v>1003</v>
      </c>
      <c r="I53" s="1" t="s">
        <v>1004</v>
      </c>
      <c r="J53" s="1" t="s">
        <v>1005</v>
      </c>
      <c r="K53" s="1" t="s">
        <v>1006</v>
      </c>
      <c r="L53" s="1" t="s">
        <v>1007</v>
      </c>
      <c r="M53" s="1" t="s">
        <v>1008</v>
      </c>
      <c r="N53" s="1" t="s">
        <v>332</v>
      </c>
      <c r="O53" s="2">
        <v>43036</v>
      </c>
    </row>
    <row r="54" spans="1:15" x14ac:dyDescent="0.25">
      <c r="A54" s="1" t="s">
        <v>1094</v>
      </c>
      <c r="B54" s="1" t="s">
        <v>172</v>
      </c>
      <c r="C54" s="1" t="s">
        <v>10</v>
      </c>
      <c r="D54" s="1" t="s">
        <v>173</v>
      </c>
      <c r="E54" s="1" t="s">
        <v>174</v>
      </c>
      <c r="F54" s="1" t="s">
        <v>98</v>
      </c>
      <c r="G54" s="1" t="s">
        <v>8</v>
      </c>
      <c r="H54" s="1" t="s">
        <v>760</v>
      </c>
      <c r="I54" s="1" t="s">
        <v>761</v>
      </c>
      <c r="J54" s="1" t="s">
        <v>762</v>
      </c>
      <c r="K54" s="1" t="s">
        <v>763</v>
      </c>
      <c r="L54" s="1" t="s">
        <v>764</v>
      </c>
      <c r="M54" s="1" t="s">
        <v>765</v>
      </c>
      <c r="N54" s="1" t="s">
        <v>174</v>
      </c>
      <c r="O54" s="2">
        <v>43036</v>
      </c>
    </row>
    <row r="55" spans="1:15" x14ac:dyDescent="0.25">
      <c r="A55" s="1" t="s">
        <v>1009</v>
      </c>
      <c r="B55" s="1" t="s">
        <v>326</v>
      </c>
      <c r="C55" s="1" t="s">
        <v>10</v>
      </c>
      <c r="D55" s="1" t="s">
        <v>327</v>
      </c>
      <c r="E55" s="1" t="s">
        <v>328</v>
      </c>
      <c r="F55" s="1" t="s">
        <v>1010</v>
      </c>
      <c r="G55" s="1" t="s">
        <v>8</v>
      </c>
      <c r="H55" s="1" t="s">
        <v>1011</v>
      </c>
      <c r="I55" s="1" t="s">
        <v>1012</v>
      </c>
      <c r="J55" s="1" t="s">
        <v>1013</v>
      </c>
      <c r="K55" s="1" t="s">
        <v>1014</v>
      </c>
      <c r="L55" s="1" t="s">
        <v>1015</v>
      </c>
      <c r="M55" s="1" t="s">
        <v>1016</v>
      </c>
      <c r="N55" s="1" t="s">
        <v>42</v>
      </c>
      <c r="O55" s="2">
        <v>42982</v>
      </c>
    </row>
    <row r="56" spans="1:15" x14ac:dyDescent="0.25">
      <c r="A56" s="1" t="s">
        <v>1095</v>
      </c>
      <c r="B56" s="1" t="s">
        <v>161</v>
      </c>
      <c r="C56" s="1" t="s">
        <v>10</v>
      </c>
      <c r="D56" s="1" t="s">
        <v>162</v>
      </c>
      <c r="E56" s="1" t="s">
        <v>163</v>
      </c>
      <c r="F56" s="1" t="s">
        <v>660</v>
      </c>
      <c r="G56" s="1" t="s">
        <v>8</v>
      </c>
      <c r="H56" s="1" t="s">
        <v>1096</v>
      </c>
      <c r="I56" s="1" t="s">
        <v>1097</v>
      </c>
      <c r="J56" s="1" t="s">
        <v>1098</v>
      </c>
      <c r="K56" s="1" t="s">
        <v>1099</v>
      </c>
      <c r="L56" s="1" t="s">
        <v>1100</v>
      </c>
      <c r="M56" s="1" t="s">
        <v>1101</v>
      </c>
      <c r="N56" s="1" t="s">
        <v>1102</v>
      </c>
      <c r="O56" s="2">
        <v>43003</v>
      </c>
    </row>
    <row r="57" spans="1:15" x14ac:dyDescent="0.25">
      <c r="A57" s="1" t="s">
        <v>1064</v>
      </c>
      <c r="B57" s="1" t="s">
        <v>158</v>
      </c>
      <c r="C57" s="1" t="s">
        <v>10</v>
      </c>
      <c r="D57" s="1" t="s">
        <v>144</v>
      </c>
      <c r="E57" s="1" t="s">
        <v>159</v>
      </c>
      <c r="F57" s="1" t="s">
        <v>98</v>
      </c>
      <c r="G57" s="1" t="s">
        <v>8</v>
      </c>
      <c r="H57" s="1" t="s">
        <v>1065</v>
      </c>
      <c r="I57" s="1" t="s">
        <v>1066</v>
      </c>
      <c r="J57" s="1" t="s">
        <v>1067</v>
      </c>
      <c r="K57" s="1" t="s">
        <v>1068</v>
      </c>
      <c r="L57" s="1" t="s">
        <v>1069</v>
      </c>
      <c r="M57" s="1" t="s">
        <v>1070</v>
      </c>
      <c r="N57" s="1" t="s">
        <v>159</v>
      </c>
      <c r="O57" s="2">
        <v>42917</v>
      </c>
    </row>
    <row r="58" spans="1:15" x14ac:dyDescent="0.25">
      <c r="A58" s="1" t="s">
        <v>1103</v>
      </c>
      <c r="B58" s="1" t="s">
        <v>156</v>
      </c>
      <c r="C58" s="1" t="s">
        <v>10</v>
      </c>
      <c r="D58" s="1" t="s">
        <v>93</v>
      </c>
      <c r="E58" s="1" t="s">
        <v>98</v>
      </c>
      <c r="F58" s="1" t="s">
        <v>98</v>
      </c>
      <c r="G58" s="1" t="s">
        <v>8</v>
      </c>
      <c r="H58" s="1" t="s">
        <v>1104</v>
      </c>
      <c r="I58" s="1" t="s">
        <v>1105</v>
      </c>
      <c r="J58" s="1" t="s">
        <v>1106</v>
      </c>
      <c r="K58" s="1" t="s">
        <v>1107</v>
      </c>
      <c r="L58" s="1" t="s">
        <v>1108</v>
      </c>
      <c r="M58" s="1" t="s">
        <v>1109</v>
      </c>
      <c r="N58" s="1" t="s">
        <v>94</v>
      </c>
      <c r="O58" s="2">
        <v>42860</v>
      </c>
    </row>
    <row r="59" spans="1:15" x14ac:dyDescent="0.25">
      <c r="A59" s="1" t="s">
        <v>1111</v>
      </c>
      <c r="B59" s="1" t="s">
        <v>149</v>
      </c>
      <c r="C59" s="1" t="s">
        <v>10</v>
      </c>
      <c r="D59" s="1" t="s">
        <v>150</v>
      </c>
      <c r="E59" s="1" t="s">
        <v>151</v>
      </c>
      <c r="F59" s="1" t="s">
        <v>1112</v>
      </c>
      <c r="G59" s="1" t="s">
        <v>8</v>
      </c>
      <c r="H59" s="1" t="s">
        <v>1113</v>
      </c>
      <c r="I59" s="1" t="s">
        <v>1114</v>
      </c>
      <c r="J59" s="1" t="s">
        <v>1115</v>
      </c>
      <c r="K59" s="1" t="s">
        <v>1116</v>
      </c>
      <c r="L59" s="1" t="s">
        <v>1117</v>
      </c>
      <c r="M59" s="1" t="s">
        <v>1118</v>
      </c>
      <c r="N59" s="1" t="s">
        <v>42</v>
      </c>
      <c r="O59" s="2">
        <v>42948</v>
      </c>
    </row>
    <row r="60" spans="1:15" x14ac:dyDescent="0.25">
      <c r="A60" s="1" t="s">
        <v>826</v>
      </c>
      <c r="B60" s="1" t="s">
        <v>146</v>
      </c>
      <c r="C60" s="1" t="s">
        <v>10</v>
      </c>
      <c r="D60" s="1" t="s">
        <v>141</v>
      </c>
      <c r="E60" s="1" t="s">
        <v>147</v>
      </c>
      <c r="F60" s="1" t="s">
        <v>98</v>
      </c>
      <c r="G60" s="1" t="s">
        <v>8</v>
      </c>
      <c r="H60" s="1" t="s">
        <v>827</v>
      </c>
      <c r="I60" s="1" t="s">
        <v>828</v>
      </c>
      <c r="J60" s="1" t="s">
        <v>829</v>
      </c>
      <c r="K60" s="1" t="s">
        <v>830</v>
      </c>
      <c r="L60" s="1" t="s">
        <v>831</v>
      </c>
      <c r="M60" s="1" t="s">
        <v>832</v>
      </c>
      <c r="N60" s="1" t="s">
        <v>147</v>
      </c>
      <c r="O60" s="2">
        <v>42954</v>
      </c>
    </row>
    <row r="61" spans="1:15" x14ac:dyDescent="0.25">
      <c r="A61" s="1" t="s">
        <v>1017</v>
      </c>
      <c r="B61" s="1" t="s">
        <v>140</v>
      </c>
      <c r="C61" s="1" t="s">
        <v>10</v>
      </c>
      <c r="D61" s="1" t="s">
        <v>141</v>
      </c>
      <c r="E61" s="1" t="s">
        <v>42</v>
      </c>
      <c r="F61" s="1" t="s">
        <v>98</v>
      </c>
      <c r="G61" s="1" t="s">
        <v>8</v>
      </c>
      <c r="H61" s="1" t="s">
        <v>827</v>
      </c>
      <c r="I61" s="1" t="s">
        <v>828</v>
      </c>
      <c r="J61" s="1" t="s">
        <v>829</v>
      </c>
      <c r="K61" s="1" t="s">
        <v>830</v>
      </c>
      <c r="L61" s="1" t="s">
        <v>831</v>
      </c>
      <c r="M61" s="1" t="s">
        <v>832</v>
      </c>
      <c r="N61" s="1" t="s">
        <v>42</v>
      </c>
      <c r="O61" s="2">
        <v>42954</v>
      </c>
    </row>
    <row r="62" spans="1:15" x14ac:dyDescent="0.25">
      <c r="A62" s="1" t="s">
        <v>1127</v>
      </c>
      <c r="B62" s="1" t="s">
        <v>136</v>
      </c>
      <c r="C62" s="1" t="s">
        <v>10</v>
      </c>
      <c r="D62" s="1" t="s">
        <v>137</v>
      </c>
      <c r="E62" s="1" t="s">
        <v>138</v>
      </c>
      <c r="F62" s="1" t="s">
        <v>98</v>
      </c>
      <c r="G62" s="1" t="s">
        <v>8</v>
      </c>
      <c r="H62" s="1" t="s">
        <v>1128</v>
      </c>
      <c r="I62" s="1" t="s">
        <v>1129</v>
      </c>
      <c r="J62" s="1" t="s">
        <v>1130</v>
      </c>
      <c r="K62" s="1" t="s">
        <v>1131</v>
      </c>
      <c r="L62" s="1" t="s">
        <v>1132</v>
      </c>
      <c r="M62" s="1" t="s">
        <v>1133</v>
      </c>
      <c r="N62" s="1" t="s">
        <v>138</v>
      </c>
      <c r="O62" s="2">
        <v>42967</v>
      </c>
    </row>
    <row r="63" spans="1:15" x14ac:dyDescent="0.25">
      <c r="A63" s="1" t="s">
        <v>1134</v>
      </c>
      <c r="B63" s="1" t="s">
        <v>133</v>
      </c>
      <c r="C63" s="1" t="s">
        <v>30</v>
      </c>
      <c r="D63" s="1" t="s">
        <v>7</v>
      </c>
      <c r="E63" s="1" t="s">
        <v>134</v>
      </c>
      <c r="F63" s="1" t="s">
        <v>752</v>
      </c>
      <c r="G63" s="1" t="s">
        <v>8</v>
      </c>
      <c r="H63" s="1" t="s">
        <v>1135</v>
      </c>
      <c r="I63" s="1" t="s">
        <v>1136</v>
      </c>
      <c r="J63" s="1" t="s">
        <v>1137</v>
      </c>
      <c r="K63" s="1" t="s">
        <v>1138</v>
      </c>
      <c r="L63" s="1" t="s">
        <v>1139</v>
      </c>
      <c r="M63" s="1" t="s">
        <v>1140</v>
      </c>
      <c r="N63" s="1" t="s">
        <v>1141</v>
      </c>
      <c r="O63" s="2">
        <v>42998</v>
      </c>
    </row>
    <row r="64" spans="1:15" x14ac:dyDescent="0.25">
      <c r="A64" s="1" t="s">
        <v>1018</v>
      </c>
      <c r="B64" s="1" t="s">
        <v>319</v>
      </c>
      <c r="C64" s="1" t="s">
        <v>10</v>
      </c>
      <c r="D64" s="1" t="s">
        <v>320</v>
      </c>
      <c r="E64" s="1" t="s">
        <v>321</v>
      </c>
      <c r="F64" s="1" t="s">
        <v>752</v>
      </c>
      <c r="G64" s="1" t="s">
        <v>8</v>
      </c>
      <c r="H64" s="1" t="s">
        <v>1019</v>
      </c>
      <c r="I64" s="1" t="s">
        <v>1020</v>
      </c>
      <c r="J64" s="1" t="s">
        <v>1021</v>
      </c>
      <c r="K64" s="1" t="s">
        <v>1022</v>
      </c>
      <c r="L64" s="1" t="s">
        <v>1023</v>
      </c>
      <c r="M64" s="1" t="s">
        <v>1024</v>
      </c>
      <c r="N64" s="1" t="s">
        <v>528</v>
      </c>
      <c r="O64" s="2">
        <v>42961</v>
      </c>
    </row>
    <row r="65" spans="1:15" x14ac:dyDescent="0.25">
      <c r="A65" s="1" t="s">
        <v>989</v>
      </c>
      <c r="B65" s="1" t="s">
        <v>129</v>
      </c>
      <c r="C65" s="1" t="s">
        <v>10</v>
      </c>
      <c r="D65" s="1" t="s">
        <v>130</v>
      </c>
      <c r="E65" s="1" t="s">
        <v>131</v>
      </c>
      <c r="F65" s="1" t="s">
        <v>752</v>
      </c>
      <c r="G65" s="1" t="s">
        <v>8</v>
      </c>
      <c r="H65" s="1" t="s">
        <v>963</v>
      </c>
      <c r="I65" s="1" t="s">
        <v>990</v>
      </c>
      <c r="J65" s="1" t="s">
        <v>965</v>
      </c>
      <c r="K65" s="1" t="s">
        <v>991</v>
      </c>
      <c r="L65" s="1" t="s">
        <v>992</v>
      </c>
      <c r="M65" s="1" t="s">
        <v>993</v>
      </c>
      <c r="N65" s="1" t="s">
        <v>130</v>
      </c>
      <c r="O65" s="2">
        <v>43043</v>
      </c>
    </row>
    <row r="66" spans="1:15" x14ac:dyDescent="0.25">
      <c r="A66" s="1" t="s">
        <v>889</v>
      </c>
      <c r="B66" s="1" t="s">
        <v>126</v>
      </c>
      <c r="C66" s="1" t="s">
        <v>10</v>
      </c>
      <c r="D66" s="1" t="s">
        <v>77</v>
      </c>
      <c r="E66" s="1" t="s">
        <v>127</v>
      </c>
      <c r="F66" s="1" t="s">
        <v>98</v>
      </c>
      <c r="G66" s="1" t="s">
        <v>8</v>
      </c>
      <c r="H66" s="1" t="s">
        <v>890</v>
      </c>
      <c r="I66" s="1" t="s">
        <v>891</v>
      </c>
      <c r="J66" s="1" t="s">
        <v>892</v>
      </c>
      <c r="K66" s="1" t="s">
        <v>893</v>
      </c>
      <c r="L66" s="1" t="s">
        <v>894</v>
      </c>
      <c r="M66" s="1" t="s">
        <v>895</v>
      </c>
      <c r="N66" s="1" t="s">
        <v>127</v>
      </c>
      <c r="O66" s="2">
        <v>42950</v>
      </c>
    </row>
    <row r="67" spans="1:15" x14ac:dyDescent="0.25">
      <c r="A67" s="1" t="s">
        <v>897</v>
      </c>
      <c r="B67" s="1" t="s">
        <v>119</v>
      </c>
      <c r="C67" s="1" t="s">
        <v>10</v>
      </c>
      <c r="D67" s="1" t="s">
        <v>77</v>
      </c>
      <c r="E67" s="1" t="s">
        <v>120</v>
      </c>
      <c r="F67" s="1" t="s">
        <v>98</v>
      </c>
      <c r="G67" s="1" t="s">
        <v>8</v>
      </c>
      <c r="H67" s="1" t="s">
        <v>890</v>
      </c>
      <c r="I67" s="1" t="s">
        <v>891</v>
      </c>
      <c r="J67" s="1" t="s">
        <v>892</v>
      </c>
      <c r="K67" s="1" t="s">
        <v>893</v>
      </c>
      <c r="L67" s="1" t="s">
        <v>898</v>
      </c>
      <c r="M67" s="1" t="s">
        <v>895</v>
      </c>
      <c r="N67" s="1" t="s">
        <v>120</v>
      </c>
      <c r="O67" s="2">
        <v>43014</v>
      </c>
    </row>
    <row r="68" spans="1:15" x14ac:dyDescent="0.25">
      <c r="A68" s="1" t="s">
        <v>1143</v>
      </c>
      <c r="B68" s="1" t="s">
        <v>114</v>
      </c>
      <c r="C68" s="1" t="s">
        <v>10</v>
      </c>
      <c r="D68" s="1" t="s">
        <v>115</v>
      </c>
      <c r="E68" s="1" t="s">
        <v>42</v>
      </c>
      <c r="F68" s="1" t="s">
        <v>752</v>
      </c>
      <c r="G68" s="1" t="s">
        <v>8</v>
      </c>
      <c r="H68" s="1" t="s">
        <v>1144</v>
      </c>
      <c r="I68" s="1" t="s">
        <v>1145</v>
      </c>
      <c r="J68" s="1" t="s">
        <v>1146</v>
      </c>
      <c r="K68" s="1" t="s">
        <v>1147</v>
      </c>
      <c r="L68" s="1" t="s">
        <v>1148</v>
      </c>
      <c r="M68" s="1" t="s">
        <v>1149</v>
      </c>
      <c r="N68" s="1" t="s">
        <v>42</v>
      </c>
      <c r="O68" s="2">
        <v>42983</v>
      </c>
    </row>
    <row r="69" spans="1:15" x14ac:dyDescent="0.25">
      <c r="A69" s="1" t="s">
        <v>994</v>
      </c>
      <c r="B69" s="1" t="s">
        <v>106</v>
      </c>
      <c r="C69" s="1" t="s">
        <v>10</v>
      </c>
      <c r="D69" s="1" t="s">
        <v>107</v>
      </c>
      <c r="E69" s="1" t="s">
        <v>108</v>
      </c>
      <c r="F69" s="1" t="s">
        <v>526</v>
      </c>
      <c r="G69" s="1" t="s">
        <v>8</v>
      </c>
      <c r="H69" s="1" t="s">
        <v>995</v>
      </c>
      <c r="I69" s="1" t="s">
        <v>996</v>
      </c>
      <c r="J69" s="1" t="s">
        <v>997</v>
      </c>
      <c r="K69" s="1" t="s">
        <v>998</v>
      </c>
      <c r="L69" s="1" t="s">
        <v>999</v>
      </c>
      <c r="M69" s="1" t="s">
        <v>1000</v>
      </c>
      <c r="N69" s="1" t="s">
        <v>108</v>
      </c>
      <c r="O69" s="2">
        <v>43015</v>
      </c>
    </row>
    <row r="70" spans="1:15" x14ac:dyDescent="0.25">
      <c r="A70" s="1" t="s">
        <v>1142</v>
      </c>
      <c r="B70" s="1" t="s">
        <v>103</v>
      </c>
      <c r="C70" s="1" t="s">
        <v>30</v>
      </c>
      <c r="D70" s="1" t="s">
        <v>7</v>
      </c>
      <c r="E70" s="1" t="s">
        <v>104</v>
      </c>
      <c r="F70" s="1" t="s">
        <v>98</v>
      </c>
      <c r="G70" s="1" t="s">
        <v>8</v>
      </c>
      <c r="H70" s="1" t="s">
        <v>1135</v>
      </c>
      <c r="I70" s="1" t="s">
        <v>1136</v>
      </c>
      <c r="J70" s="1" t="s">
        <v>1137</v>
      </c>
      <c r="K70" s="1" t="s">
        <v>1138</v>
      </c>
      <c r="L70" s="1" t="s">
        <v>1139</v>
      </c>
      <c r="M70" s="1" t="s">
        <v>1140</v>
      </c>
      <c r="N70" s="1" t="s">
        <v>104</v>
      </c>
      <c r="O70" s="2">
        <v>42999</v>
      </c>
    </row>
    <row r="71" spans="1:15" x14ac:dyDescent="0.25">
      <c r="A71" s="1" t="s">
        <v>1152</v>
      </c>
      <c r="B71" s="1" t="s">
        <v>100</v>
      </c>
      <c r="C71" s="1" t="s">
        <v>10</v>
      </c>
      <c r="D71" s="1" t="s">
        <v>73</v>
      </c>
      <c r="E71" s="1" t="s">
        <v>101</v>
      </c>
      <c r="F71" s="1" t="s">
        <v>752</v>
      </c>
      <c r="G71" s="1" t="s">
        <v>8</v>
      </c>
      <c r="H71" s="1" t="s">
        <v>1153</v>
      </c>
      <c r="I71" s="1" t="s">
        <v>1154</v>
      </c>
      <c r="J71" s="1" t="s">
        <v>1155</v>
      </c>
      <c r="K71" s="1" t="s">
        <v>1156</v>
      </c>
      <c r="L71" s="1" t="s">
        <v>1157</v>
      </c>
      <c r="M71" s="1" t="s">
        <v>1158</v>
      </c>
      <c r="N71" s="1" t="s">
        <v>583</v>
      </c>
      <c r="O71" s="2">
        <v>43069</v>
      </c>
    </row>
    <row r="72" spans="1:15" x14ac:dyDescent="0.25">
      <c r="A72" s="1" t="s">
        <v>1110</v>
      </c>
      <c r="B72" s="1" t="s">
        <v>90</v>
      </c>
      <c r="C72" s="1" t="s">
        <v>10</v>
      </c>
      <c r="D72" s="1" t="s">
        <v>87</v>
      </c>
      <c r="E72" s="1" t="s">
        <v>91</v>
      </c>
      <c r="F72" s="1" t="s">
        <v>526</v>
      </c>
      <c r="G72" s="1" t="s">
        <v>8</v>
      </c>
      <c r="H72" s="1" t="s">
        <v>1079</v>
      </c>
      <c r="I72" s="1" t="s">
        <v>1080</v>
      </c>
      <c r="J72" s="1" t="s">
        <v>1081</v>
      </c>
      <c r="K72" s="1" t="s">
        <v>1082</v>
      </c>
      <c r="L72" s="1" t="s">
        <v>1083</v>
      </c>
      <c r="M72" s="1" t="s">
        <v>1084</v>
      </c>
      <c r="N72" s="1" t="s">
        <v>91</v>
      </c>
      <c r="O72" s="2">
        <v>42980</v>
      </c>
    </row>
    <row r="73" spans="1:15" x14ac:dyDescent="0.25">
      <c r="A73" s="1" t="s">
        <v>1078</v>
      </c>
      <c r="B73" s="1" t="s">
        <v>86</v>
      </c>
      <c r="C73" s="1" t="s">
        <v>10</v>
      </c>
      <c r="D73" s="1" t="s">
        <v>87</v>
      </c>
      <c r="E73" s="1" t="s">
        <v>88</v>
      </c>
      <c r="F73" s="1" t="s">
        <v>526</v>
      </c>
      <c r="G73" s="1" t="s">
        <v>8</v>
      </c>
      <c r="H73" s="1" t="s">
        <v>1079</v>
      </c>
      <c r="I73" s="1" t="s">
        <v>1080</v>
      </c>
      <c r="J73" s="1" t="s">
        <v>1081</v>
      </c>
      <c r="K73" s="1" t="s">
        <v>1082</v>
      </c>
      <c r="L73" s="1" t="s">
        <v>1083</v>
      </c>
      <c r="M73" s="1" t="s">
        <v>1084</v>
      </c>
      <c r="N73" s="1" t="s">
        <v>88</v>
      </c>
      <c r="O73" s="2">
        <v>43029</v>
      </c>
    </row>
    <row r="74" spans="1:15" x14ac:dyDescent="0.25">
      <c r="A74" s="1" t="s">
        <v>899</v>
      </c>
      <c r="B74" s="1" t="s">
        <v>76</v>
      </c>
      <c r="C74" s="1" t="s">
        <v>10</v>
      </c>
      <c r="D74" s="1" t="s">
        <v>77</v>
      </c>
      <c r="E74" s="1" t="s">
        <v>78</v>
      </c>
      <c r="F74" s="1" t="s">
        <v>98</v>
      </c>
      <c r="G74" s="1" t="s">
        <v>8</v>
      </c>
      <c r="H74" s="1" t="s">
        <v>890</v>
      </c>
      <c r="I74" s="1" t="s">
        <v>891</v>
      </c>
      <c r="J74" s="1" t="s">
        <v>892</v>
      </c>
      <c r="K74" s="1" t="s">
        <v>893</v>
      </c>
      <c r="L74" s="1" t="s">
        <v>898</v>
      </c>
      <c r="M74" s="1" t="s">
        <v>895</v>
      </c>
      <c r="N74" s="1" t="s">
        <v>78</v>
      </c>
      <c r="O74" s="2">
        <v>42961</v>
      </c>
    </row>
    <row r="75" spans="1:15" x14ac:dyDescent="0.25">
      <c r="A75" s="1" t="s">
        <v>833</v>
      </c>
      <c r="B75" s="1" t="s">
        <v>69</v>
      </c>
      <c r="C75" s="1" t="s">
        <v>10</v>
      </c>
      <c r="D75" s="1" t="s">
        <v>60</v>
      </c>
      <c r="E75" s="1" t="s">
        <v>70</v>
      </c>
      <c r="F75" s="1" t="s">
        <v>98</v>
      </c>
      <c r="G75" s="1" t="s">
        <v>8</v>
      </c>
      <c r="H75" s="1" t="s">
        <v>834</v>
      </c>
      <c r="I75" s="1" t="s">
        <v>835</v>
      </c>
      <c r="J75" s="1" t="s">
        <v>836</v>
      </c>
      <c r="K75" s="1" t="s">
        <v>837</v>
      </c>
      <c r="L75" s="1" t="s">
        <v>838</v>
      </c>
      <c r="M75" s="1" t="s">
        <v>839</v>
      </c>
      <c r="N75" s="1" t="s">
        <v>840</v>
      </c>
      <c r="O75" s="2">
        <v>42982</v>
      </c>
    </row>
    <row r="76" spans="1:15" x14ac:dyDescent="0.25">
      <c r="A76" s="1" t="s">
        <v>841</v>
      </c>
      <c r="B76" s="1" t="s">
        <v>63</v>
      </c>
      <c r="C76" s="1" t="s">
        <v>10</v>
      </c>
      <c r="D76" s="1" t="s">
        <v>60</v>
      </c>
      <c r="E76" s="1" t="s">
        <v>64</v>
      </c>
      <c r="F76" s="1" t="s">
        <v>98</v>
      </c>
      <c r="G76" s="1" t="s">
        <v>8</v>
      </c>
      <c r="H76" s="1" t="s">
        <v>834</v>
      </c>
      <c r="I76" s="1" t="s">
        <v>835</v>
      </c>
      <c r="J76" s="1" t="s">
        <v>842</v>
      </c>
      <c r="K76" s="1" t="s">
        <v>837</v>
      </c>
      <c r="L76" s="1" t="s">
        <v>838</v>
      </c>
      <c r="M76" s="1" t="s">
        <v>839</v>
      </c>
      <c r="N76" s="1" t="s">
        <v>64</v>
      </c>
      <c r="O76" s="2">
        <v>43024</v>
      </c>
    </row>
    <row r="77" spans="1:15" x14ac:dyDescent="0.25">
      <c r="A77" s="1" t="s">
        <v>1159</v>
      </c>
      <c r="B77" s="1" t="s">
        <v>59</v>
      </c>
      <c r="C77" s="1" t="s">
        <v>10</v>
      </c>
      <c r="D77" s="1" t="s">
        <v>60</v>
      </c>
      <c r="E77" s="1" t="s">
        <v>61</v>
      </c>
      <c r="F77" s="1" t="s">
        <v>98</v>
      </c>
      <c r="G77" s="1" t="s">
        <v>8</v>
      </c>
      <c r="H77" s="1" t="s">
        <v>834</v>
      </c>
      <c r="I77" s="1" t="s">
        <v>835</v>
      </c>
      <c r="J77" s="1" t="s">
        <v>842</v>
      </c>
      <c r="K77" s="1" t="s">
        <v>837</v>
      </c>
      <c r="L77" s="1" t="s">
        <v>838</v>
      </c>
      <c r="M77" s="1" t="s">
        <v>839</v>
      </c>
      <c r="N77" s="1" t="s">
        <v>61</v>
      </c>
      <c r="O77" s="2">
        <v>43057</v>
      </c>
    </row>
    <row r="78" spans="1:15" x14ac:dyDescent="0.25">
      <c r="A78" s="1" t="s">
        <v>1150</v>
      </c>
      <c r="B78" s="1" t="s">
        <v>56</v>
      </c>
      <c r="C78" s="1" t="s">
        <v>30</v>
      </c>
      <c r="D78" s="1" t="s">
        <v>49</v>
      </c>
      <c r="E78" s="1" t="s">
        <v>57</v>
      </c>
      <c r="F78" s="1" t="s">
        <v>57</v>
      </c>
      <c r="G78" s="1" t="s">
        <v>8</v>
      </c>
      <c r="H78" s="1" t="s">
        <v>1121</v>
      </c>
      <c r="I78" s="1" t="s">
        <v>1122</v>
      </c>
      <c r="J78" s="1" t="s">
        <v>1123</v>
      </c>
      <c r="K78" s="1" t="s">
        <v>1124</v>
      </c>
      <c r="L78" s="1" t="s">
        <v>1125</v>
      </c>
      <c r="M78" s="1" t="s">
        <v>1126</v>
      </c>
      <c r="N78" s="1" t="s">
        <v>1151</v>
      </c>
      <c r="O78" s="2">
        <v>42861</v>
      </c>
    </row>
    <row r="79" spans="1:15" x14ac:dyDescent="0.25">
      <c r="A79" s="1" t="s">
        <v>1119</v>
      </c>
      <c r="B79" s="1" t="s">
        <v>48</v>
      </c>
      <c r="C79" s="1" t="s">
        <v>30</v>
      </c>
      <c r="D79" s="1" t="s">
        <v>49</v>
      </c>
      <c r="E79" s="1" t="s">
        <v>50</v>
      </c>
      <c r="F79" s="1" t="s">
        <v>1120</v>
      </c>
      <c r="G79" s="1" t="s">
        <v>8</v>
      </c>
      <c r="H79" s="1" t="s">
        <v>1121</v>
      </c>
      <c r="I79" s="1" t="s">
        <v>1122</v>
      </c>
      <c r="J79" s="1" t="s">
        <v>1123</v>
      </c>
      <c r="K79" s="1" t="s">
        <v>1124</v>
      </c>
      <c r="L79" s="1" t="s">
        <v>1125</v>
      </c>
      <c r="M79" s="1" t="s">
        <v>1126</v>
      </c>
      <c r="N79" s="1" t="s">
        <v>42</v>
      </c>
      <c r="O79" s="2">
        <v>42861</v>
      </c>
    </row>
    <row r="80" spans="1:15" x14ac:dyDescent="0.25">
      <c r="A80" s="1" t="s">
        <v>1119</v>
      </c>
      <c r="B80" s="1" t="s">
        <v>52</v>
      </c>
      <c r="C80" s="1" t="s">
        <v>10</v>
      </c>
      <c r="D80" s="1" t="s">
        <v>53</v>
      </c>
      <c r="E80" s="1" t="s">
        <v>54</v>
      </c>
      <c r="F80" s="1" t="s">
        <v>1160</v>
      </c>
      <c r="G80" s="1" t="s">
        <v>8</v>
      </c>
      <c r="H80" s="1" t="s">
        <v>1161</v>
      </c>
      <c r="I80" s="1" t="s">
        <v>1162</v>
      </c>
      <c r="J80" s="1" t="s">
        <v>1163</v>
      </c>
      <c r="K80" s="1" t="s">
        <v>1164</v>
      </c>
      <c r="L80" s="1" t="s">
        <v>1165</v>
      </c>
      <c r="M80" s="1" t="s">
        <v>1166</v>
      </c>
      <c r="N80" s="1" t="s">
        <v>1167</v>
      </c>
      <c r="O80" s="2">
        <v>42976</v>
      </c>
    </row>
    <row r="81" spans="1:15" x14ac:dyDescent="0.25">
      <c r="A81" s="1" t="s">
        <v>859</v>
      </c>
      <c r="B81" s="1" t="s">
        <v>40</v>
      </c>
      <c r="C81" s="1" t="s">
        <v>10</v>
      </c>
      <c r="D81" s="1" t="s">
        <v>41</v>
      </c>
      <c r="E81" s="1" t="s">
        <v>42</v>
      </c>
      <c r="F81" s="1" t="s">
        <v>98</v>
      </c>
      <c r="G81" s="1" t="s">
        <v>8</v>
      </c>
      <c r="H81" s="1" t="s">
        <v>860</v>
      </c>
      <c r="I81" s="1" t="s">
        <v>861</v>
      </c>
      <c r="J81" s="1" t="s">
        <v>862</v>
      </c>
      <c r="K81" s="1" t="s">
        <v>863</v>
      </c>
      <c r="L81" s="1" t="s">
        <v>864</v>
      </c>
      <c r="M81" s="1" t="s">
        <v>865</v>
      </c>
      <c r="N81" s="1" t="s">
        <v>42</v>
      </c>
      <c r="O81" s="2">
        <v>42983</v>
      </c>
    </row>
    <row r="82" spans="1:15" x14ac:dyDescent="0.25">
      <c r="A82" s="1" t="s">
        <v>1168</v>
      </c>
      <c r="B82" s="1" t="s">
        <v>36</v>
      </c>
      <c r="C82" s="1" t="s">
        <v>30</v>
      </c>
      <c r="D82" s="1" t="s">
        <v>37</v>
      </c>
      <c r="E82" s="1" t="s">
        <v>38</v>
      </c>
      <c r="F82" s="1" t="s">
        <v>787</v>
      </c>
      <c r="G82" s="1" t="s">
        <v>8</v>
      </c>
      <c r="H82" s="1" t="s">
        <v>1169</v>
      </c>
      <c r="I82" s="1" t="s">
        <v>1170</v>
      </c>
      <c r="J82" s="1" t="s">
        <v>1171</v>
      </c>
      <c r="K82" s="1" t="s">
        <v>1172</v>
      </c>
      <c r="L82" s="1" t="s">
        <v>1173</v>
      </c>
      <c r="M82" s="1" t="s">
        <v>1174</v>
      </c>
      <c r="N82" s="1" t="s">
        <v>42</v>
      </c>
      <c r="O82" s="2">
        <v>43010</v>
      </c>
    </row>
    <row r="83" spans="1:15" x14ac:dyDescent="0.25">
      <c r="A83" s="1" t="s">
        <v>1175</v>
      </c>
      <c r="B83" s="1" t="s">
        <v>25</v>
      </c>
      <c r="C83" s="1" t="s">
        <v>10</v>
      </c>
      <c r="D83" s="1" t="s">
        <v>26</v>
      </c>
      <c r="E83" s="1" t="s">
        <v>27</v>
      </c>
      <c r="F83" s="1" t="s">
        <v>1176</v>
      </c>
      <c r="G83" s="1" t="s">
        <v>8</v>
      </c>
      <c r="H83" s="1" t="s">
        <v>1177</v>
      </c>
      <c r="I83" s="1" t="s">
        <v>1178</v>
      </c>
      <c r="J83" s="1" t="s">
        <v>1179</v>
      </c>
      <c r="K83" s="1" t="s">
        <v>1180</v>
      </c>
      <c r="L83" s="1" t="s">
        <v>1181</v>
      </c>
      <c r="M83" s="1" t="s">
        <v>1182</v>
      </c>
      <c r="N83" s="1" t="s">
        <v>1183</v>
      </c>
      <c r="O83" s="2">
        <v>42970</v>
      </c>
    </row>
    <row r="84" spans="1:15" x14ac:dyDescent="0.25">
      <c r="A84" s="1" t="s">
        <v>1025</v>
      </c>
      <c r="B84" s="1" t="s">
        <v>316</v>
      </c>
      <c r="C84" s="1" t="s">
        <v>10</v>
      </c>
      <c r="D84" s="1" t="s">
        <v>301</v>
      </c>
      <c r="E84" s="1" t="s">
        <v>317</v>
      </c>
      <c r="F84" s="1" t="s">
        <v>518</v>
      </c>
      <c r="G84" s="1" t="s">
        <v>8</v>
      </c>
      <c r="H84" s="1" t="s">
        <v>883</v>
      </c>
      <c r="I84" s="1" t="s">
        <v>884</v>
      </c>
      <c r="J84" s="1" t="s">
        <v>885</v>
      </c>
      <c r="K84" s="1" t="s">
        <v>886</v>
      </c>
      <c r="L84" s="1" t="s">
        <v>887</v>
      </c>
      <c r="M84" s="1" t="s">
        <v>888</v>
      </c>
      <c r="N84" s="1" t="s">
        <v>317</v>
      </c>
      <c r="O84" s="2">
        <v>43000</v>
      </c>
    </row>
    <row r="85" spans="1:15" x14ac:dyDescent="0.25">
      <c r="A85" s="1" t="s">
        <v>1026</v>
      </c>
      <c r="B85" s="1" t="s">
        <v>313</v>
      </c>
      <c r="C85" s="1" t="s">
        <v>10</v>
      </c>
      <c r="D85" s="1" t="s">
        <v>301</v>
      </c>
      <c r="E85" s="1" t="s">
        <v>314</v>
      </c>
      <c r="F85" s="1" t="s">
        <v>518</v>
      </c>
      <c r="G85" s="1" t="s">
        <v>8</v>
      </c>
      <c r="H85" s="1" t="s">
        <v>883</v>
      </c>
      <c r="I85" s="1" t="s">
        <v>884</v>
      </c>
      <c r="J85" s="1" t="s">
        <v>885</v>
      </c>
      <c r="K85" s="1" t="s">
        <v>886</v>
      </c>
      <c r="L85" s="1" t="s">
        <v>887</v>
      </c>
      <c r="M85" s="1" t="s">
        <v>888</v>
      </c>
      <c r="N85" s="1" t="s">
        <v>314</v>
      </c>
      <c r="O85" s="2">
        <v>42997</v>
      </c>
    </row>
    <row r="86" spans="1:15" x14ac:dyDescent="0.25">
      <c r="A86" s="1" t="s">
        <v>1027</v>
      </c>
      <c r="B86" s="1" t="s">
        <v>310</v>
      </c>
      <c r="C86" s="1" t="s">
        <v>10</v>
      </c>
      <c r="D86" s="1" t="s">
        <v>301</v>
      </c>
      <c r="E86" s="1" t="s">
        <v>311</v>
      </c>
      <c r="F86" s="1" t="s">
        <v>518</v>
      </c>
      <c r="G86" s="1" t="s">
        <v>8</v>
      </c>
      <c r="H86" s="1" t="s">
        <v>883</v>
      </c>
      <c r="I86" s="1" t="s">
        <v>884</v>
      </c>
      <c r="J86" s="1" t="s">
        <v>885</v>
      </c>
      <c r="K86" s="1" t="s">
        <v>886</v>
      </c>
      <c r="L86" s="1" t="s">
        <v>887</v>
      </c>
      <c r="M86" s="1" t="s">
        <v>888</v>
      </c>
      <c r="N86" s="1" t="s">
        <v>311</v>
      </c>
      <c r="O86" s="2">
        <v>43022</v>
      </c>
    </row>
    <row r="87" spans="1:15" x14ac:dyDescent="0.25">
      <c r="A87" s="1" t="s">
        <v>1028</v>
      </c>
      <c r="B87" s="1" t="s">
        <v>307</v>
      </c>
      <c r="C87" s="1" t="s">
        <v>10</v>
      </c>
      <c r="D87" s="1" t="s">
        <v>301</v>
      </c>
      <c r="E87" s="1" t="s">
        <v>308</v>
      </c>
      <c r="F87" s="1" t="s">
        <v>518</v>
      </c>
      <c r="G87" s="1" t="s">
        <v>8</v>
      </c>
      <c r="H87" s="1" t="s">
        <v>883</v>
      </c>
      <c r="I87" s="1" t="s">
        <v>884</v>
      </c>
      <c r="J87" s="1" t="s">
        <v>885</v>
      </c>
      <c r="K87" s="1" t="s">
        <v>886</v>
      </c>
      <c r="L87" s="1" t="s">
        <v>887</v>
      </c>
      <c r="M87" s="1" t="s">
        <v>888</v>
      </c>
      <c r="N87" s="1" t="s">
        <v>308</v>
      </c>
      <c r="O87" s="2">
        <v>43029</v>
      </c>
    </row>
    <row r="88" spans="1:15" x14ac:dyDescent="0.25">
      <c r="A88" s="1" t="s">
        <v>1029</v>
      </c>
      <c r="B88" s="1" t="s">
        <v>304</v>
      </c>
      <c r="C88" s="1" t="s">
        <v>10</v>
      </c>
      <c r="D88" s="1" t="s">
        <v>301</v>
      </c>
      <c r="E88" s="1" t="s">
        <v>305</v>
      </c>
      <c r="F88" s="1" t="s">
        <v>518</v>
      </c>
      <c r="G88" s="1" t="s">
        <v>8</v>
      </c>
      <c r="H88" s="1" t="s">
        <v>883</v>
      </c>
      <c r="I88" s="1" t="s">
        <v>884</v>
      </c>
      <c r="J88" s="1" t="s">
        <v>885</v>
      </c>
      <c r="K88" s="1" t="s">
        <v>886</v>
      </c>
      <c r="L88" s="1" t="s">
        <v>887</v>
      </c>
      <c r="M88" s="1" t="s">
        <v>888</v>
      </c>
      <c r="N88" s="1" t="s">
        <v>305</v>
      </c>
      <c r="O88" s="2">
        <v>43043</v>
      </c>
    </row>
    <row r="89" spans="1:15" x14ac:dyDescent="0.25">
      <c r="A89" s="1" t="s">
        <v>1030</v>
      </c>
      <c r="B89" s="1" t="s">
        <v>300</v>
      </c>
      <c r="C89" s="1" t="s">
        <v>10</v>
      </c>
      <c r="D89" s="1" t="s">
        <v>301</v>
      </c>
      <c r="E89" s="1" t="s">
        <v>302</v>
      </c>
      <c r="F89" s="1" t="s">
        <v>518</v>
      </c>
      <c r="G89" s="1" t="s">
        <v>8</v>
      </c>
      <c r="H89" s="1" t="s">
        <v>883</v>
      </c>
      <c r="I89" s="1" t="s">
        <v>884</v>
      </c>
      <c r="J89" s="1" t="s">
        <v>885</v>
      </c>
      <c r="K89" s="1" t="s">
        <v>886</v>
      </c>
      <c r="L89" s="1" t="s">
        <v>887</v>
      </c>
      <c r="M89" s="1" t="s">
        <v>888</v>
      </c>
      <c r="N89" s="1" t="s">
        <v>302</v>
      </c>
      <c r="O89" s="2">
        <v>43004</v>
      </c>
    </row>
    <row r="90" spans="1:15" x14ac:dyDescent="0.25">
      <c r="A90" s="1" t="s">
        <v>1039</v>
      </c>
      <c r="B90" s="1" t="s">
        <v>289</v>
      </c>
      <c r="C90" s="1" t="s">
        <v>10</v>
      </c>
      <c r="D90" s="1" t="s">
        <v>290</v>
      </c>
      <c r="E90" s="1" t="s">
        <v>291</v>
      </c>
      <c r="F90" s="1" t="s">
        <v>1040</v>
      </c>
      <c r="G90" s="1" t="s">
        <v>8</v>
      </c>
      <c r="H90" s="1" t="s">
        <v>1041</v>
      </c>
      <c r="I90" s="1" t="s">
        <v>1042</v>
      </c>
      <c r="J90" s="1" t="s">
        <v>1043</v>
      </c>
      <c r="K90" s="1" t="s">
        <v>1044</v>
      </c>
      <c r="L90" s="1" t="s">
        <v>1045</v>
      </c>
      <c r="M90" s="1" t="s">
        <v>1046</v>
      </c>
      <c r="N90" s="1" t="s">
        <v>291</v>
      </c>
      <c r="O90" s="2">
        <v>42979</v>
      </c>
    </row>
    <row r="91" spans="1:15" x14ac:dyDescent="0.25">
      <c r="A91" s="1" t="s">
        <v>974</v>
      </c>
      <c r="B91" s="1" t="s">
        <v>286</v>
      </c>
      <c r="C91" s="1" t="s">
        <v>10</v>
      </c>
      <c r="D91" s="1" t="s">
        <v>235</v>
      </c>
      <c r="E91" s="1" t="s">
        <v>287</v>
      </c>
      <c r="F91" s="1" t="s">
        <v>98</v>
      </c>
      <c r="G91" s="1" t="s">
        <v>8</v>
      </c>
      <c r="H91" s="1" t="s">
        <v>975</v>
      </c>
      <c r="I91" s="1" t="s">
        <v>976</v>
      </c>
      <c r="J91" s="1" t="s">
        <v>977</v>
      </c>
      <c r="K91" s="1" t="s">
        <v>978</v>
      </c>
      <c r="L91" s="1" t="s">
        <v>979</v>
      </c>
      <c r="M91" s="1" t="s">
        <v>980</v>
      </c>
      <c r="N91" s="1" t="s">
        <v>981</v>
      </c>
      <c r="O91" s="2">
        <v>42974</v>
      </c>
    </row>
    <row r="92" spans="1:15" x14ac:dyDescent="0.25">
      <c r="A92" s="1" t="s">
        <v>779</v>
      </c>
      <c r="B92" s="1" t="s">
        <v>282</v>
      </c>
      <c r="C92" s="1" t="s">
        <v>10</v>
      </c>
      <c r="D92" s="1" t="s">
        <v>283</v>
      </c>
      <c r="E92" s="1" t="s">
        <v>284</v>
      </c>
      <c r="F92" s="1" t="s">
        <v>752</v>
      </c>
      <c r="G92" s="1" t="s">
        <v>8</v>
      </c>
      <c r="H92" s="1" t="s">
        <v>780</v>
      </c>
      <c r="I92" s="1" t="s">
        <v>781</v>
      </c>
      <c r="J92" s="1" t="s">
        <v>782</v>
      </c>
      <c r="K92" s="1" t="s">
        <v>783</v>
      </c>
      <c r="L92" s="1" t="s">
        <v>784</v>
      </c>
      <c r="M92" s="1" t="s">
        <v>785</v>
      </c>
      <c r="N92" s="1" t="s">
        <v>284</v>
      </c>
      <c r="O92" s="2">
        <v>43029</v>
      </c>
    </row>
    <row r="93" spans="1:15" x14ac:dyDescent="0.25">
      <c r="A93" s="1" t="s">
        <v>1031</v>
      </c>
      <c r="B93" s="1" t="s">
        <v>268</v>
      </c>
      <c r="C93" s="1" t="s">
        <v>10</v>
      </c>
      <c r="D93" s="1" t="s">
        <v>269</v>
      </c>
      <c r="E93" s="1" t="s">
        <v>270</v>
      </c>
      <c r="F93" s="1" t="s">
        <v>98</v>
      </c>
      <c r="G93" s="1" t="s">
        <v>8</v>
      </c>
      <c r="H93" s="1" t="s">
        <v>1032</v>
      </c>
      <c r="I93" s="1" t="s">
        <v>1033</v>
      </c>
      <c r="J93" s="1" t="s">
        <v>1034</v>
      </c>
      <c r="K93" s="1" t="s">
        <v>1035</v>
      </c>
      <c r="L93" s="1" t="s">
        <v>1036</v>
      </c>
      <c r="M93" s="1" t="s">
        <v>1037</v>
      </c>
      <c r="N93" s="1" t="s">
        <v>1038</v>
      </c>
      <c r="O93" s="2">
        <v>43022</v>
      </c>
    </row>
    <row r="94" spans="1:15" x14ac:dyDescent="0.25">
      <c r="A94" s="1" t="s">
        <v>1055</v>
      </c>
      <c r="B94" s="1" t="s">
        <v>265</v>
      </c>
      <c r="C94" s="1" t="s">
        <v>10</v>
      </c>
      <c r="D94" s="1" t="s">
        <v>247</v>
      </c>
      <c r="E94" s="1" t="s">
        <v>266</v>
      </c>
      <c r="F94" s="1" t="s">
        <v>98</v>
      </c>
      <c r="G94" s="1" t="s">
        <v>8</v>
      </c>
      <c r="H94" s="1" t="s">
        <v>1056</v>
      </c>
      <c r="I94" s="1" t="s">
        <v>1057</v>
      </c>
      <c r="J94" s="1" t="s">
        <v>1058</v>
      </c>
      <c r="K94" s="1" t="s">
        <v>1059</v>
      </c>
      <c r="L94" s="1" t="s">
        <v>1060</v>
      </c>
      <c r="M94" s="1" t="s">
        <v>1061</v>
      </c>
      <c r="N94" s="1" t="s">
        <v>266</v>
      </c>
      <c r="O94" s="2">
        <v>42931</v>
      </c>
    </row>
    <row r="95" spans="1:15" x14ac:dyDescent="0.25">
      <c r="A95" s="1" t="s">
        <v>944</v>
      </c>
      <c r="B95" s="1" t="s">
        <v>250</v>
      </c>
      <c r="C95" s="1" t="s">
        <v>10</v>
      </c>
      <c r="D95" s="1" t="s">
        <v>251</v>
      </c>
      <c r="E95" s="1" t="s">
        <v>252</v>
      </c>
      <c r="F95" s="1" t="s">
        <v>252</v>
      </c>
      <c r="G95" s="1" t="s">
        <v>8</v>
      </c>
      <c r="H95" s="1" t="s">
        <v>945</v>
      </c>
      <c r="I95" s="1" t="s">
        <v>946</v>
      </c>
      <c r="J95" s="1" t="s">
        <v>947</v>
      </c>
      <c r="K95" s="1" t="s">
        <v>948</v>
      </c>
      <c r="L95" s="1" t="s">
        <v>949</v>
      </c>
      <c r="M95" s="1" t="s">
        <v>950</v>
      </c>
      <c r="N95" s="1" t="s">
        <v>252</v>
      </c>
      <c r="O95" s="2">
        <v>43022</v>
      </c>
    </row>
    <row r="96" spans="1:15" x14ac:dyDescent="0.25">
      <c r="A96" s="1" t="s">
        <v>967</v>
      </c>
      <c r="B96" s="1" t="s">
        <v>334</v>
      </c>
      <c r="C96" s="1" t="s">
        <v>10</v>
      </c>
      <c r="D96" s="1" t="s">
        <v>335</v>
      </c>
      <c r="E96" s="1" t="s">
        <v>336</v>
      </c>
      <c r="F96" s="1" t="s">
        <v>752</v>
      </c>
      <c r="G96" s="1" t="s">
        <v>8</v>
      </c>
      <c r="H96" s="1" t="s">
        <v>968</v>
      </c>
      <c r="I96" s="1" t="s">
        <v>969</v>
      </c>
      <c r="J96" s="1" t="s">
        <v>970</v>
      </c>
      <c r="K96" s="1" t="s">
        <v>971</v>
      </c>
      <c r="L96" s="1" t="s">
        <v>972</v>
      </c>
      <c r="M96" s="1" t="s">
        <v>973</v>
      </c>
      <c r="N96" s="1" t="s">
        <v>336</v>
      </c>
      <c r="O96" s="2">
        <v>43032</v>
      </c>
    </row>
    <row r="97" spans="1:15" x14ac:dyDescent="0.25">
      <c r="A97" s="1" t="s">
        <v>959</v>
      </c>
      <c r="B97" s="1" t="s">
        <v>242</v>
      </c>
      <c r="C97" s="1" t="s">
        <v>10</v>
      </c>
      <c r="D97" s="1" t="s">
        <v>243</v>
      </c>
      <c r="E97" s="1" t="s">
        <v>244</v>
      </c>
      <c r="F97" s="1" t="s">
        <v>752</v>
      </c>
      <c r="G97" s="1" t="s">
        <v>8</v>
      </c>
      <c r="H97" s="1" t="s">
        <v>960</v>
      </c>
      <c r="I97" s="1" t="s">
        <v>961</v>
      </c>
      <c r="J97" s="1" t="s">
        <v>962</v>
      </c>
      <c r="K97" s="1" t="s">
        <v>963</v>
      </c>
      <c r="L97" s="1" t="s">
        <v>964</v>
      </c>
      <c r="M97" s="1" t="s">
        <v>965</v>
      </c>
      <c r="N97" s="1" t="s">
        <v>966</v>
      </c>
      <c r="O97" s="2">
        <v>43057</v>
      </c>
    </row>
    <row r="98" spans="1:15" x14ac:dyDescent="0.25">
      <c r="A98" s="1" t="s">
        <v>794</v>
      </c>
      <c r="B98" s="1" t="s">
        <v>238</v>
      </c>
      <c r="C98" s="1" t="s">
        <v>10</v>
      </c>
      <c r="D98" s="1" t="s">
        <v>239</v>
      </c>
      <c r="E98" s="1" t="s">
        <v>240</v>
      </c>
      <c r="F98" s="1" t="s">
        <v>795</v>
      </c>
      <c r="G98" s="1" t="s">
        <v>8</v>
      </c>
      <c r="H98" s="1" t="s">
        <v>796</v>
      </c>
      <c r="I98" s="1" t="s">
        <v>797</v>
      </c>
      <c r="J98" s="1" t="s">
        <v>798</v>
      </c>
      <c r="K98" s="1" t="s">
        <v>799</v>
      </c>
      <c r="L98" s="1" t="s">
        <v>800</v>
      </c>
      <c r="M98" s="1" t="s">
        <v>801</v>
      </c>
      <c r="N98" s="1" t="s">
        <v>802</v>
      </c>
      <c r="O98" s="2">
        <v>42977</v>
      </c>
    </row>
    <row r="99" spans="1:15" x14ac:dyDescent="0.25">
      <c r="A99" s="1" t="s">
        <v>794</v>
      </c>
      <c r="B99" s="1" t="s">
        <v>234</v>
      </c>
      <c r="C99" s="1" t="s">
        <v>10</v>
      </c>
      <c r="D99" s="1" t="s">
        <v>235</v>
      </c>
      <c r="E99" s="1" t="s">
        <v>236</v>
      </c>
      <c r="F99" s="1" t="s">
        <v>98</v>
      </c>
      <c r="G99" s="1" t="s">
        <v>8</v>
      </c>
      <c r="H99" s="1" t="s">
        <v>975</v>
      </c>
      <c r="I99" s="1" t="s">
        <v>976</v>
      </c>
      <c r="J99" s="1" t="s">
        <v>977</v>
      </c>
      <c r="K99" s="1" t="s">
        <v>978</v>
      </c>
      <c r="L99" s="1" t="s">
        <v>979</v>
      </c>
      <c r="M99" s="1" t="s">
        <v>980</v>
      </c>
      <c r="N99" s="1" t="s">
        <v>236</v>
      </c>
      <c r="O99" s="2">
        <v>43055</v>
      </c>
    </row>
    <row r="100" spans="1:15" x14ac:dyDescent="0.25">
      <c r="A100" s="1" t="s">
        <v>1071</v>
      </c>
      <c r="B100" s="1" t="s">
        <v>230</v>
      </c>
      <c r="C100" s="1" t="s">
        <v>10</v>
      </c>
      <c r="D100" s="1" t="s">
        <v>231</v>
      </c>
      <c r="E100" s="1" t="s">
        <v>232</v>
      </c>
      <c r="F100" s="1" t="s">
        <v>98</v>
      </c>
      <c r="G100" s="1" t="s">
        <v>8</v>
      </c>
      <c r="H100" s="1" t="s">
        <v>1072</v>
      </c>
      <c r="I100" s="1" t="s">
        <v>1073</v>
      </c>
      <c r="J100" s="1" t="s">
        <v>1074</v>
      </c>
      <c r="K100" s="1" t="s">
        <v>1075</v>
      </c>
      <c r="L100" s="1" t="s">
        <v>1076</v>
      </c>
      <c r="M100" s="1" t="s">
        <v>1077</v>
      </c>
      <c r="N100" s="1" t="s">
        <v>232</v>
      </c>
      <c r="O100" s="2">
        <v>42979</v>
      </c>
    </row>
    <row r="101" spans="1:15" x14ac:dyDescent="0.25">
      <c r="A101" s="1" t="s">
        <v>1191</v>
      </c>
      <c r="B101" s="1" t="s">
        <v>17</v>
      </c>
      <c r="C101" s="1" t="s">
        <v>10</v>
      </c>
      <c r="D101" s="1" t="s">
        <v>11</v>
      </c>
      <c r="E101" s="1" t="s">
        <v>18</v>
      </c>
      <c r="F101" s="1" t="s">
        <v>752</v>
      </c>
      <c r="G101" s="1" t="s">
        <v>8</v>
      </c>
      <c r="H101" s="1" t="s">
        <v>1185</v>
      </c>
      <c r="I101" s="1" t="s">
        <v>1186</v>
      </c>
      <c r="J101" s="1" t="s">
        <v>1187</v>
      </c>
      <c r="K101" s="1" t="s">
        <v>1188</v>
      </c>
      <c r="L101" s="1" t="s">
        <v>1189</v>
      </c>
      <c r="M101" s="1" t="s">
        <v>1190</v>
      </c>
      <c r="N101" s="1" t="s">
        <v>18</v>
      </c>
      <c r="O101" s="2">
        <v>42917</v>
      </c>
    </row>
    <row r="102" spans="1:15" x14ac:dyDescent="0.25">
      <c r="A102" s="1" t="s">
        <v>1192</v>
      </c>
      <c r="B102" s="1" t="s">
        <v>14</v>
      </c>
      <c r="C102" s="1" t="s">
        <v>10</v>
      </c>
      <c r="D102" s="1" t="s">
        <v>11</v>
      </c>
      <c r="E102" s="1" t="s">
        <v>15</v>
      </c>
      <c r="F102" s="1" t="s">
        <v>98</v>
      </c>
      <c r="G102" s="1" t="s">
        <v>8</v>
      </c>
      <c r="H102" s="1" t="s">
        <v>1185</v>
      </c>
      <c r="I102" s="1" t="s">
        <v>1186</v>
      </c>
      <c r="J102" s="1" t="s">
        <v>1187</v>
      </c>
      <c r="K102" s="1" t="s">
        <v>1188</v>
      </c>
      <c r="L102" s="1" t="s">
        <v>1189</v>
      </c>
      <c r="M102" s="1" t="s">
        <v>1190</v>
      </c>
      <c r="N102" s="1" t="s">
        <v>15</v>
      </c>
      <c r="O102" s="2">
        <v>42917</v>
      </c>
    </row>
    <row r="103" spans="1:15" x14ac:dyDescent="0.25">
      <c r="A103" s="1" t="s">
        <v>1193</v>
      </c>
      <c r="B103" s="1" t="s">
        <v>9</v>
      </c>
      <c r="C103" s="1" t="s">
        <v>10</v>
      </c>
      <c r="D103" s="1" t="s">
        <v>11</v>
      </c>
      <c r="E103" s="1" t="s">
        <v>12</v>
      </c>
      <c r="F103" s="1" t="s">
        <v>98</v>
      </c>
      <c r="G103" s="1" t="s">
        <v>8</v>
      </c>
      <c r="H103" s="1" t="s">
        <v>1185</v>
      </c>
      <c r="I103" s="1" t="s">
        <v>1186</v>
      </c>
      <c r="J103" s="1" t="s">
        <v>1187</v>
      </c>
      <c r="K103" s="1" t="s">
        <v>1188</v>
      </c>
      <c r="L103" s="1" t="s">
        <v>1189</v>
      </c>
      <c r="M103" s="1" t="s">
        <v>1190</v>
      </c>
      <c r="N103" s="1" t="s">
        <v>12</v>
      </c>
      <c r="O103" s="2">
        <v>42917</v>
      </c>
    </row>
    <row r="104" spans="1:15" x14ac:dyDescent="0.25">
      <c r="A104" s="1" t="s">
        <v>1184</v>
      </c>
      <c r="B104" s="1" t="s">
        <v>20</v>
      </c>
      <c r="C104" s="1" t="s">
        <v>10</v>
      </c>
      <c r="D104" s="1" t="s">
        <v>11</v>
      </c>
      <c r="E104" s="1" t="s">
        <v>21</v>
      </c>
      <c r="F104" s="1" t="s">
        <v>752</v>
      </c>
      <c r="G104" s="1" t="s">
        <v>8</v>
      </c>
      <c r="H104" s="1" t="s">
        <v>1185</v>
      </c>
      <c r="I104" s="1" t="s">
        <v>1186</v>
      </c>
      <c r="J104" s="1" t="s">
        <v>1187</v>
      </c>
      <c r="K104" s="1" t="s">
        <v>1188</v>
      </c>
      <c r="L104" s="1" t="s">
        <v>1189</v>
      </c>
      <c r="M104" s="1" t="s">
        <v>1190</v>
      </c>
      <c r="N104" s="1" t="s">
        <v>21</v>
      </c>
      <c r="O104" s="2">
        <v>42917</v>
      </c>
    </row>
  </sheetData>
  <sortState ref="A2:O104">
    <sortCondition ref="A2:A104"/>
  </sortState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240"/>
  <sheetViews>
    <sheetView tabSelected="1" workbookViewId="0"/>
  </sheetViews>
  <sheetFormatPr defaultRowHeight="14.4" outlineLevelRow="1" x14ac:dyDescent="0.3"/>
  <cols>
    <col min="8" max="8" width="53.44140625" bestFit="1" customWidth="1"/>
    <col min="9" max="9" width="83" bestFit="1" customWidth="1"/>
    <col min="10" max="10" width="15.6640625" style="3" bestFit="1" customWidth="1"/>
    <col min="11" max="11" width="35.109375" bestFit="1" customWidth="1"/>
    <col min="12" max="12" width="18.109375" bestFit="1" customWidth="1"/>
    <col min="13" max="13" width="18.88671875" bestFit="1" customWidth="1"/>
    <col min="14" max="14" width="14.77734375" bestFit="1" customWidth="1"/>
    <col min="15" max="15" width="24" bestFit="1" customWidth="1"/>
    <col min="16" max="16" width="25.21875" bestFit="1" customWidth="1"/>
  </cols>
  <sheetData>
    <row r="1" spans="1:16" x14ac:dyDescent="0.3">
      <c r="A1" s="12" t="s">
        <v>0</v>
      </c>
      <c r="B1" s="13" t="s">
        <v>735</v>
      </c>
      <c r="C1" s="13" t="s">
        <v>736</v>
      </c>
      <c r="D1" s="13" t="s">
        <v>737</v>
      </c>
      <c r="E1" s="13" t="s">
        <v>738</v>
      </c>
      <c r="F1" s="13" t="s">
        <v>739</v>
      </c>
      <c r="G1" s="13" t="s">
        <v>740</v>
      </c>
      <c r="H1" s="12" t="s">
        <v>2</v>
      </c>
      <c r="I1" s="12" t="s">
        <v>741</v>
      </c>
      <c r="J1" s="14" t="s">
        <v>1194</v>
      </c>
      <c r="K1" s="12" t="s">
        <v>545</v>
      </c>
      <c r="L1" s="12" t="s">
        <v>1195</v>
      </c>
      <c r="M1" s="13" t="s">
        <v>1196</v>
      </c>
      <c r="N1" s="13" t="s">
        <v>1197</v>
      </c>
      <c r="O1" s="13" t="s">
        <v>1198</v>
      </c>
      <c r="P1" s="13" t="s">
        <v>1199</v>
      </c>
    </row>
    <row r="2" spans="1:16" outlineLevel="1" x14ac:dyDescent="0.3">
      <c r="A2" s="4" t="s">
        <v>540</v>
      </c>
      <c r="B2" s="5" t="str">
        <f>VLOOKUP($H2,'Required Budget Information'!$D$2:$O$104,5,FALSE)</f>
        <v>Amitai Max Samuels</v>
      </c>
      <c r="C2" s="5" t="str">
        <f>VLOOKUP($H2,'Required Budget Information'!$D$2:$O$104,6,FALSE)</f>
        <v>(857) 206-3338</v>
      </c>
      <c r="D2" s="5" t="str">
        <f>VLOOKUP($H2,'Required Budget Information'!$D$2:$O$104,7,FALSE)</f>
        <v>maxsam@terpmail.umd.edu</v>
      </c>
      <c r="E2" s="5" t="str">
        <f>VLOOKUP($H2,'Required Budget Information'!$D$2:$O$104,8,FALSE)</f>
        <v>Jannah Laserson</v>
      </c>
      <c r="F2" s="5" t="str">
        <f>VLOOKUP($H2,'Required Budget Information'!$D$2:$O$104,9,FALSE)</f>
        <v>(216) 849-3384</v>
      </c>
      <c r="G2" s="5" t="str">
        <f>VLOOKUP($H2,'Required Budget Information'!$D$2:$O$104,10,FALSE)</f>
        <v>lasersonj@gmail.com</v>
      </c>
      <c r="H2" s="4" t="s">
        <v>173</v>
      </c>
      <c r="I2" s="4" t="s">
        <v>519</v>
      </c>
      <c r="J2" s="6">
        <f>VLOOKUP($H2,'Required Budget Information'!$D$2:$O$104,12,FALSE)</f>
        <v>42988</v>
      </c>
      <c r="K2" s="4" t="s">
        <v>556</v>
      </c>
      <c r="L2" s="4">
        <v>2800</v>
      </c>
      <c r="M2" s="7"/>
      <c r="N2" s="7"/>
      <c r="O2" s="7"/>
      <c r="P2" s="7" t="str">
        <f>IF(VALUE(N2)=VALUE(L2),IF(TRIM(M2)&lt;&gt;"Fully Fund", "Check Committee Decision","Good"),IF(VALUE(N2)&gt;0,IF(TRIM(M2)&lt;&gt;"Partially Fund","Check Committee Decision", IF(O2&lt;&gt;"","Good","Reason?")),IF(TRIM(M2)&lt;&gt;"Not Fund", IF(TRIM(M2)&lt;&gt;"","Check Committee Decision", ""), IF(O2&lt;&gt;"","Good","Reason?"))))</f>
        <v/>
      </c>
    </row>
    <row r="3" spans="1:16" outlineLevel="1" x14ac:dyDescent="0.3">
      <c r="A3" s="8" t="s">
        <v>538</v>
      </c>
      <c r="B3" s="9" t="str">
        <f>VLOOKUP($H2,'Required Budget Information'!$D$2:$O$104,5,FALSE)</f>
        <v>Amitai Max Samuels</v>
      </c>
      <c r="C3" s="9" t="str">
        <f>VLOOKUP($H2,'Required Budget Information'!$D$2:$O$104,6,FALSE)</f>
        <v>(857) 206-3338</v>
      </c>
      <c r="D3" s="9" t="str">
        <f>VLOOKUP($H2,'Required Budget Information'!$D$2:$O$104,7,FALSE)</f>
        <v>maxsam@terpmail.umd.edu</v>
      </c>
      <c r="E3" s="9" t="str">
        <f>VLOOKUP($H2,'Required Budget Information'!$D$2:$O$104,8,FALSE)</f>
        <v>Jannah Laserson</v>
      </c>
      <c r="F3" s="9" t="str">
        <f>VLOOKUP($H2,'Required Budget Information'!$D$2:$O$104,9,FALSE)</f>
        <v>(216) 849-3384</v>
      </c>
      <c r="G3" s="9" t="str">
        <f>VLOOKUP($H2,'Required Budget Information'!$D$2:$O$104,10,FALSE)</f>
        <v>lasersonj@gmail.com</v>
      </c>
      <c r="H3" s="8" t="s">
        <v>535</v>
      </c>
      <c r="I3" s="8" t="s">
        <v>536</v>
      </c>
      <c r="J3" s="10">
        <f>VLOOKUP($H2,'Required Budget Information'!$D$2:$O$104,12,FALSE)</f>
        <v>42988</v>
      </c>
      <c r="K3" s="8" t="s">
        <v>561</v>
      </c>
      <c r="L3" s="8">
        <v>144</v>
      </c>
      <c r="M3" s="11"/>
      <c r="N3" s="11"/>
      <c r="O3" s="11"/>
      <c r="P3" s="11" t="str">
        <f t="shared" ref="P3:P66" si="0">IF(VALUE(N3)=VALUE(L3),IF(TRIM(M3)&lt;&gt;"Fully Fund", "Check Committee Decision","Good"),IF(VALUE(N3)&gt;0,IF(TRIM(M3)&lt;&gt;"Partially Fund","Check Committee Decision", IF(O3&lt;&gt;"","Good","Reason?")),IF(TRIM(M3)&lt;&gt;"Not Fund", IF(TRIM(M3)&lt;&gt;"","Check Committee Decision", ""), IF(O3&lt;&gt;"","Good","Reason?"))))</f>
        <v/>
      </c>
    </row>
    <row r="4" spans="1:16" outlineLevel="1" x14ac:dyDescent="0.3">
      <c r="A4" s="4" t="s">
        <v>533</v>
      </c>
      <c r="B4" s="5" t="str">
        <f>VLOOKUP($H2,'Required Budget Information'!$D$2:$O$104,5,FALSE)</f>
        <v>Amitai Max Samuels</v>
      </c>
      <c r="C4" s="5" t="str">
        <f>VLOOKUP($H2,'Required Budget Information'!$D$2:$O$104,6,FALSE)</f>
        <v>(857) 206-3338</v>
      </c>
      <c r="D4" s="5" t="str">
        <f>VLOOKUP($H2,'Required Budget Information'!$D$2:$O$104,7,FALSE)</f>
        <v>maxsam@terpmail.umd.edu</v>
      </c>
      <c r="E4" s="5" t="str">
        <f>VLOOKUP($H2,'Required Budget Information'!$D$2:$O$104,8,FALSE)</f>
        <v>Jannah Laserson</v>
      </c>
      <c r="F4" s="5" t="str">
        <f>VLOOKUP($H2,'Required Budget Information'!$D$2:$O$104,9,FALSE)</f>
        <v>(216) 849-3384</v>
      </c>
      <c r="G4" s="5" t="str">
        <f>VLOOKUP($H2,'Required Budget Information'!$D$2:$O$104,10,FALSE)</f>
        <v>lasersonj@gmail.com</v>
      </c>
      <c r="H4" s="4" t="s">
        <v>53</v>
      </c>
      <c r="I4" s="4" t="s">
        <v>53</v>
      </c>
      <c r="J4" s="6">
        <f>VLOOKUP($H2,'Required Budget Information'!$D$2:$O$104,12,FALSE)</f>
        <v>42988</v>
      </c>
      <c r="K4" s="4" t="s">
        <v>580</v>
      </c>
      <c r="L4" s="4">
        <v>1069.8499999999999</v>
      </c>
      <c r="M4" s="7"/>
      <c r="N4" s="7"/>
      <c r="O4" s="7"/>
      <c r="P4" s="7" t="str">
        <f t="shared" si="0"/>
        <v/>
      </c>
    </row>
    <row r="5" spans="1:16" outlineLevel="1" x14ac:dyDescent="0.3">
      <c r="A5" s="8" t="s">
        <v>533</v>
      </c>
      <c r="B5" s="9" t="str">
        <f>VLOOKUP($H2,'Required Budget Information'!$D$2:$O$104,5,FALSE)</f>
        <v>Amitai Max Samuels</v>
      </c>
      <c r="C5" s="9" t="str">
        <f>VLOOKUP($H2,'Required Budget Information'!$D$2:$O$104,6,FALSE)</f>
        <v>(857) 206-3338</v>
      </c>
      <c r="D5" s="9" t="str">
        <f>VLOOKUP($H2,'Required Budget Information'!$D$2:$O$104,7,FALSE)</f>
        <v>maxsam@terpmail.umd.edu</v>
      </c>
      <c r="E5" s="9" t="str">
        <f>VLOOKUP($H2,'Required Budget Information'!$D$2:$O$104,8,FALSE)</f>
        <v>Jannah Laserson</v>
      </c>
      <c r="F5" s="9" t="str">
        <f>VLOOKUP($H2,'Required Budget Information'!$D$2:$O$104,9,FALSE)</f>
        <v>(216) 849-3384</v>
      </c>
      <c r="G5" s="9" t="str">
        <f>VLOOKUP($H2,'Required Budget Information'!$D$2:$O$104,10,FALSE)</f>
        <v>lasersonj@gmail.com</v>
      </c>
      <c r="H5" s="8" t="s">
        <v>53</v>
      </c>
      <c r="I5" s="8" t="s">
        <v>53</v>
      </c>
      <c r="J5" s="10">
        <f>VLOOKUP($H2,'Required Budget Information'!$D$2:$O$104,12,FALSE)</f>
        <v>42988</v>
      </c>
      <c r="K5" s="8" t="s">
        <v>580</v>
      </c>
      <c r="L5" s="8">
        <v>382.11</v>
      </c>
      <c r="M5" s="11"/>
      <c r="N5" s="11"/>
      <c r="O5" s="11"/>
      <c r="P5" s="11" t="str">
        <f t="shared" si="0"/>
        <v/>
      </c>
    </row>
    <row r="6" spans="1:16" outlineLevel="1" x14ac:dyDescent="0.3">
      <c r="A6" s="4" t="s">
        <v>529</v>
      </c>
      <c r="B6" s="5" t="str">
        <f>VLOOKUP($H2,'Required Budget Information'!$D$2:$O$104,5,FALSE)</f>
        <v>Amitai Max Samuels</v>
      </c>
      <c r="C6" s="5" t="str">
        <f>VLOOKUP($H2,'Required Budget Information'!$D$2:$O$104,6,FALSE)</f>
        <v>(857) 206-3338</v>
      </c>
      <c r="D6" s="5" t="str">
        <f>VLOOKUP($H2,'Required Budget Information'!$D$2:$O$104,7,FALSE)</f>
        <v>maxsam@terpmail.umd.edu</v>
      </c>
      <c r="E6" s="5" t="str">
        <f>VLOOKUP($H2,'Required Budget Information'!$D$2:$O$104,8,FALSE)</f>
        <v>Jannah Laserson</v>
      </c>
      <c r="F6" s="5" t="str">
        <f>VLOOKUP($H2,'Required Budget Information'!$D$2:$O$104,9,FALSE)</f>
        <v>(216) 849-3384</v>
      </c>
      <c r="G6" s="5" t="str">
        <f>VLOOKUP($H2,'Required Budget Information'!$D$2:$O$104,10,FALSE)</f>
        <v>lasersonj@gmail.com</v>
      </c>
      <c r="H6" s="4" t="s">
        <v>320</v>
      </c>
      <c r="I6" s="4" t="s">
        <v>530</v>
      </c>
      <c r="J6" s="6">
        <f>VLOOKUP($H2,'Required Budget Information'!$D$2:$O$104,12,FALSE)</f>
        <v>42988</v>
      </c>
      <c r="K6" s="4" t="s">
        <v>550</v>
      </c>
      <c r="L6" s="4">
        <v>114</v>
      </c>
      <c r="M6" s="7"/>
      <c r="N6" s="7"/>
      <c r="O6" s="7"/>
      <c r="P6" s="7" t="str">
        <f t="shared" si="0"/>
        <v/>
      </c>
    </row>
    <row r="7" spans="1:16" outlineLevel="1" x14ac:dyDescent="0.3">
      <c r="A7" s="8" t="s">
        <v>524</v>
      </c>
      <c r="B7" s="9" t="str">
        <f>VLOOKUP($H2,'Required Budget Information'!$D$2:$O$104,5,FALSE)</f>
        <v>Amitai Max Samuels</v>
      </c>
      <c r="C7" s="9" t="str">
        <f>VLOOKUP($H2,'Required Budget Information'!$D$2:$O$104,6,FALSE)</f>
        <v>(857) 206-3338</v>
      </c>
      <c r="D7" s="9" t="str">
        <f>VLOOKUP($H2,'Required Budget Information'!$D$2:$O$104,7,FALSE)</f>
        <v>maxsam@terpmail.umd.edu</v>
      </c>
      <c r="E7" s="9" t="str">
        <f>VLOOKUP($H2,'Required Budget Information'!$D$2:$O$104,8,FALSE)</f>
        <v>Jannah Laserson</v>
      </c>
      <c r="F7" s="9" t="str">
        <f>VLOOKUP($H2,'Required Budget Information'!$D$2:$O$104,9,FALSE)</f>
        <v>(216) 849-3384</v>
      </c>
      <c r="G7" s="9" t="str">
        <f>VLOOKUP($H2,'Required Budget Information'!$D$2:$O$104,10,FALSE)</f>
        <v>lasersonj@gmail.com</v>
      </c>
      <c r="H7" s="8" t="s">
        <v>93</v>
      </c>
      <c r="I7" s="8" t="s">
        <v>94</v>
      </c>
      <c r="J7" s="10">
        <f>VLOOKUP($H2,'Required Budget Information'!$D$2:$O$104,12,FALSE)</f>
        <v>42988</v>
      </c>
      <c r="K7" s="8" t="s">
        <v>550</v>
      </c>
      <c r="L7" s="8">
        <v>1857</v>
      </c>
      <c r="M7" s="11"/>
      <c r="N7" s="11"/>
      <c r="O7" s="11"/>
      <c r="P7" s="11" t="str">
        <f t="shared" si="0"/>
        <v/>
      </c>
    </row>
    <row r="8" spans="1:16" outlineLevel="1" x14ac:dyDescent="0.3">
      <c r="A8" s="4" t="s">
        <v>524</v>
      </c>
      <c r="B8" s="5" t="str">
        <f>VLOOKUP($H2,'Required Budget Information'!$D$2:$O$104,5,FALSE)</f>
        <v>Amitai Max Samuels</v>
      </c>
      <c r="C8" s="5" t="str">
        <f>VLOOKUP($H2,'Required Budget Information'!$D$2:$O$104,6,FALSE)</f>
        <v>(857) 206-3338</v>
      </c>
      <c r="D8" s="5" t="str">
        <f>VLOOKUP($H2,'Required Budget Information'!$D$2:$O$104,7,FALSE)</f>
        <v>maxsam@terpmail.umd.edu</v>
      </c>
      <c r="E8" s="5" t="str">
        <f>VLOOKUP($H2,'Required Budget Information'!$D$2:$O$104,8,FALSE)</f>
        <v>Jannah Laserson</v>
      </c>
      <c r="F8" s="5" t="str">
        <f>VLOOKUP($H2,'Required Budget Information'!$D$2:$O$104,9,FALSE)</f>
        <v>(216) 849-3384</v>
      </c>
      <c r="G8" s="5" t="str">
        <f>VLOOKUP($H2,'Required Budget Information'!$D$2:$O$104,10,FALSE)</f>
        <v>lasersonj@gmail.com</v>
      </c>
      <c r="H8" s="4" t="s">
        <v>93</v>
      </c>
      <c r="I8" s="4" t="s">
        <v>94</v>
      </c>
      <c r="J8" s="6">
        <f>VLOOKUP($H2,'Required Budget Information'!$D$2:$O$104,12,FALSE)</f>
        <v>42988</v>
      </c>
      <c r="K8" s="4" t="s">
        <v>550</v>
      </c>
      <c r="L8" s="4">
        <v>184</v>
      </c>
      <c r="M8" s="7"/>
      <c r="N8" s="7"/>
      <c r="O8" s="7"/>
      <c r="P8" s="7" t="str">
        <f t="shared" si="0"/>
        <v/>
      </c>
    </row>
    <row r="9" spans="1:16" outlineLevel="1" x14ac:dyDescent="0.3">
      <c r="A9" s="8" t="s">
        <v>44</v>
      </c>
      <c r="B9" s="9" t="str">
        <f>VLOOKUP($H2,'Required Budget Information'!$D$2:$O$104,5,FALSE)</f>
        <v>Amitai Max Samuels</v>
      </c>
      <c r="C9" s="9" t="str">
        <f>VLOOKUP($H2,'Required Budget Information'!$D$2:$O$104,6,FALSE)</f>
        <v>(857) 206-3338</v>
      </c>
      <c r="D9" s="9" t="str">
        <f>VLOOKUP($H2,'Required Budget Information'!$D$2:$O$104,7,FALSE)</f>
        <v>maxsam@terpmail.umd.edu</v>
      </c>
      <c r="E9" s="9" t="str">
        <f>VLOOKUP($H2,'Required Budget Information'!$D$2:$O$104,8,FALSE)</f>
        <v>Jannah Laserson</v>
      </c>
      <c r="F9" s="9" t="str">
        <f>VLOOKUP($H2,'Required Budget Information'!$D$2:$O$104,9,FALSE)</f>
        <v>(216) 849-3384</v>
      </c>
      <c r="G9" s="9" t="str">
        <f>VLOOKUP($H2,'Required Budget Information'!$D$2:$O$104,10,FALSE)</f>
        <v>lasersonj@gmail.com</v>
      </c>
      <c r="H9" s="8" t="s">
        <v>45</v>
      </c>
      <c r="I9" s="8" t="s">
        <v>46</v>
      </c>
      <c r="J9" s="10">
        <f>VLOOKUP($H2,'Required Budget Information'!$D$2:$O$104,12,FALSE)</f>
        <v>42988</v>
      </c>
      <c r="K9" s="8" t="s">
        <v>550</v>
      </c>
      <c r="L9" s="8">
        <v>168</v>
      </c>
      <c r="M9" s="11"/>
      <c r="N9" s="11"/>
      <c r="O9" s="11"/>
      <c r="P9" s="11" t="str">
        <f t="shared" si="0"/>
        <v/>
      </c>
    </row>
    <row r="10" spans="1:16" outlineLevel="1" x14ac:dyDescent="0.3">
      <c r="A10" s="4" t="s">
        <v>44</v>
      </c>
      <c r="B10" s="5" t="str">
        <f>VLOOKUP($H2,'Required Budget Information'!$D$2:$O$104,5,FALSE)</f>
        <v>Amitai Max Samuels</v>
      </c>
      <c r="C10" s="5" t="str">
        <f>VLOOKUP($H2,'Required Budget Information'!$D$2:$O$104,6,FALSE)</f>
        <v>(857) 206-3338</v>
      </c>
      <c r="D10" s="5" t="str">
        <f>VLOOKUP($H2,'Required Budget Information'!$D$2:$O$104,7,FALSE)</f>
        <v>maxsam@terpmail.umd.edu</v>
      </c>
      <c r="E10" s="5" t="str">
        <f>VLOOKUP($H2,'Required Budget Information'!$D$2:$O$104,8,FALSE)</f>
        <v>Jannah Laserson</v>
      </c>
      <c r="F10" s="5" t="str">
        <f>VLOOKUP($H2,'Required Budget Information'!$D$2:$O$104,9,FALSE)</f>
        <v>(216) 849-3384</v>
      </c>
      <c r="G10" s="5" t="str">
        <f>VLOOKUP($H2,'Required Budget Information'!$D$2:$O$104,10,FALSE)</f>
        <v>lasersonj@gmail.com</v>
      </c>
      <c r="H10" s="4" t="s">
        <v>45</v>
      </c>
      <c r="I10" s="4" t="s">
        <v>46</v>
      </c>
      <c r="J10" s="6">
        <f>VLOOKUP($H2,'Required Budget Information'!$D$2:$O$104,12,FALSE)</f>
        <v>42988</v>
      </c>
      <c r="K10" s="4" t="s">
        <v>552</v>
      </c>
      <c r="L10" s="4">
        <v>300</v>
      </c>
      <c r="M10" s="7"/>
      <c r="N10" s="7"/>
      <c r="O10" s="7"/>
      <c r="P10" s="7" t="str">
        <f t="shared" si="0"/>
        <v/>
      </c>
    </row>
    <row r="11" spans="1:16" outlineLevel="1" x14ac:dyDescent="0.3">
      <c r="A11" s="8" t="s">
        <v>478</v>
      </c>
      <c r="B11" s="9" t="str">
        <f>VLOOKUP($H2,'Required Budget Information'!$D$2:$O$104,5,FALSE)</f>
        <v>Amitai Max Samuels</v>
      </c>
      <c r="C11" s="9" t="str">
        <f>VLOOKUP($H2,'Required Budget Information'!$D$2:$O$104,6,FALSE)</f>
        <v>(857) 206-3338</v>
      </c>
      <c r="D11" s="9" t="str">
        <f>VLOOKUP($H2,'Required Budget Information'!$D$2:$O$104,7,FALSE)</f>
        <v>maxsam@terpmail.umd.edu</v>
      </c>
      <c r="E11" s="9" t="str">
        <f>VLOOKUP($H2,'Required Budget Information'!$D$2:$O$104,8,FALSE)</f>
        <v>Jannah Laserson</v>
      </c>
      <c r="F11" s="9" t="str">
        <f>VLOOKUP($H2,'Required Budget Information'!$D$2:$O$104,9,FALSE)</f>
        <v>(216) 849-3384</v>
      </c>
      <c r="G11" s="9" t="str">
        <f>VLOOKUP($H2,'Required Budget Information'!$D$2:$O$104,10,FALSE)</f>
        <v>lasersonj@gmail.com</v>
      </c>
      <c r="H11" s="8" t="s">
        <v>479</v>
      </c>
      <c r="I11" s="8" t="s">
        <v>480</v>
      </c>
      <c r="J11" s="10">
        <f>VLOOKUP($H2,'Required Budget Information'!$D$2:$O$104,12,FALSE)</f>
        <v>42988</v>
      </c>
      <c r="K11" s="8" t="s">
        <v>561</v>
      </c>
      <c r="L11" s="8">
        <v>230.1</v>
      </c>
      <c r="M11" s="11"/>
      <c r="N11" s="11"/>
      <c r="O11" s="11"/>
      <c r="P11" s="11" t="str">
        <f t="shared" si="0"/>
        <v/>
      </c>
    </row>
    <row r="12" spans="1:16" outlineLevel="1" x14ac:dyDescent="0.3">
      <c r="A12" s="4" t="s">
        <v>497</v>
      </c>
      <c r="B12" s="5" t="str">
        <f>VLOOKUP($H2,'Required Budget Information'!$D$2:$O$104,5,FALSE)</f>
        <v>Amitai Max Samuels</v>
      </c>
      <c r="C12" s="5" t="str">
        <f>VLOOKUP($H2,'Required Budget Information'!$D$2:$O$104,6,FALSE)</f>
        <v>(857) 206-3338</v>
      </c>
      <c r="D12" s="5" t="str">
        <f>VLOOKUP($H2,'Required Budget Information'!$D$2:$O$104,7,FALSE)</f>
        <v>maxsam@terpmail.umd.edu</v>
      </c>
      <c r="E12" s="5" t="str">
        <f>VLOOKUP($H2,'Required Budget Information'!$D$2:$O$104,8,FALSE)</f>
        <v>Jannah Laserson</v>
      </c>
      <c r="F12" s="5" t="str">
        <f>VLOOKUP($H2,'Required Budget Information'!$D$2:$O$104,9,FALSE)</f>
        <v>(216) 849-3384</v>
      </c>
      <c r="G12" s="5" t="str">
        <f>VLOOKUP($H2,'Required Budget Information'!$D$2:$O$104,10,FALSE)</f>
        <v>lasersonj@gmail.com</v>
      </c>
      <c r="H12" s="4" t="s">
        <v>498</v>
      </c>
      <c r="I12" s="4" t="s">
        <v>499</v>
      </c>
      <c r="J12" s="6">
        <f>VLOOKUP($H2,'Required Budget Information'!$D$2:$O$104,12,FALSE)</f>
        <v>42988</v>
      </c>
      <c r="K12" s="4" t="s">
        <v>550</v>
      </c>
      <c r="L12" s="4">
        <v>438</v>
      </c>
      <c r="M12" s="7"/>
      <c r="N12" s="7"/>
      <c r="O12" s="7"/>
      <c r="P12" s="7" t="str">
        <f t="shared" si="0"/>
        <v/>
      </c>
    </row>
    <row r="13" spans="1:16" outlineLevel="1" x14ac:dyDescent="0.3">
      <c r="A13" s="8" t="s">
        <v>514</v>
      </c>
      <c r="B13" s="9" t="str">
        <f>VLOOKUP($H2,'Required Budget Information'!$D$2:$O$104,5,FALSE)</f>
        <v>Amitai Max Samuels</v>
      </c>
      <c r="C13" s="9" t="str">
        <f>VLOOKUP($H2,'Required Budget Information'!$D$2:$O$104,6,FALSE)</f>
        <v>(857) 206-3338</v>
      </c>
      <c r="D13" s="9" t="str">
        <f>VLOOKUP($H2,'Required Budget Information'!$D$2:$O$104,7,FALSE)</f>
        <v>maxsam@terpmail.umd.edu</v>
      </c>
      <c r="E13" s="9" t="str">
        <f>VLOOKUP($H2,'Required Budget Information'!$D$2:$O$104,8,FALSE)</f>
        <v>Jannah Laserson</v>
      </c>
      <c r="F13" s="9" t="str">
        <f>VLOOKUP($H2,'Required Budget Information'!$D$2:$O$104,9,FALSE)</f>
        <v>(216) 849-3384</v>
      </c>
      <c r="G13" s="9" t="str">
        <f>VLOOKUP($H2,'Required Budget Information'!$D$2:$O$104,10,FALSE)</f>
        <v>lasersonj@gmail.com</v>
      </c>
      <c r="H13" s="8" t="s">
        <v>515</v>
      </c>
      <c r="I13" s="8" t="s">
        <v>516</v>
      </c>
      <c r="J13" s="10">
        <f>VLOOKUP($H2,'Required Budget Information'!$D$2:$O$104,12,FALSE)</f>
        <v>42988</v>
      </c>
      <c r="K13" s="8" t="s">
        <v>554</v>
      </c>
      <c r="L13" s="8">
        <v>4800</v>
      </c>
      <c r="M13" s="11"/>
      <c r="N13" s="11"/>
      <c r="O13" s="11"/>
      <c r="P13" s="11" t="str">
        <f t="shared" si="0"/>
        <v/>
      </c>
    </row>
    <row r="14" spans="1:16" outlineLevel="1" x14ac:dyDescent="0.3">
      <c r="A14" s="4" t="s">
        <v>488</v>
      </c>
      <c r="B14" s="5" t="str">
        <f>VLOOKUP($H2,'Required Budget Information'!$D$2:$O$104,5,FALSE)</f>
        <v>Amitai Max Samuels</v>
      </c>
      <c r="C14" s="5" t="str">
        <f>VLOOKUP($H2,'Required Budget Information'!$D$2:$O$104,6,FALSE)</f>
        <v>(857) 206-3338</v>
      </c>
      <c r="D14" s="5" t="str">
        <f>VLOOKUP($H2,'Required Budget Information'!$D$2:$O$104,7,FALSE)</f>
        <v>maxsam@terpmail.umd.edu</v>
      </c>
      <c r="E14" s="5" t="str">
        <f>VLOOKUP($H2,'Required Budget Information'!$D$2:$O$104,8,FALSE)</f>
        <v>Jannah Laserson</v>
      </c>
      <c r="F14" s="5" t="str">
        <f>VLOOKUP($H2,'Required Budget Information'!$D$2:$O$104,9,FALSE)</f>
        <v>(216) 849-3384</v>
      </c>
      <c r="G14" s="5" t="str">
        <f>VLOOKUP($H2,'Required Budget Information'!$D$2:$O$104,10,FALSE)</f>
        <v>lasersonj@gmail.com</v>
      </c>
      <c r="H14" s="4" t="s">
        <v>485</v>
      </c>
      <c r="I14" s="4" t="s">
        <v>42</v>
      </c>
      <c r="J14" s="6">
        <f>VLOOKUP($H2,'Required Budget Information'!$D$2:$O$104,12,FALSE)</f>
        <v>42988</v>
      </c>
      <c r="K14" s="4" t="s">
        <v>556</v>
      </c>
      <c r="L14" s="4">
        <v>54082.38</v>
      </c>
      <c r="M14" s="7"/>
      <c r="N14" s="7"/>
      <c r="O14" s="7"/>
      <c r="P14" s="7" t="str">
        <f t="shared" si="0"/>
        <v/>
      </c>
    </row>
    <row r="15" spans="1:16" outlineLevel="1" x14ac:dyDescent="0.3">
      <c r="A15" s="8" t="s">
        <v>488</v>
      </c>
      <c r="B15" s="9" t="str">
        <f>VLOOKUP($H2,'Required Budget Information'!$D$2:$O$104,5,FALSE)</f>
        <v>Amitai Max Samuels</v>
      </c>
      <c r="C15" s="9" t="str">
        <f>VLOOKUP($H2,'Required Budget Information'!$D$2:$O$104,6,FALSE)</f>
        <v>(857) 206-3338</v>
      </c>
      <c r="D15" s="9" t="str">
        <f>VLOOKUP($H2,'Required Budget Information'!$D$2:$O$104,7,FALSE)</f>
        <v>maxsam@terpmail.umd.edu</v>
      </c>
      <c r="E15" s="9" t="str">
        <f>VLOOKUP($H2,'Required Budget Information'!$D$2:$O$104,8,FALSE)</f>
        <v>Jannah Laserson</v>
      </c>
      <c r="F15" s="9" t="str">
        <f>VLOOKUP($H2,'Required Budget Information'!$D$2:$O$104,9,FALSE)</f>
        <v>(216) 849-3384</v>
      </c>
      <c r="G15" s="9" t="str">
        <f>VLOOKUP($H2,'Required Budget Information'!$D$2:$O$104,10,FALSE)</f>
        <v>lasersonj@gmail.com</v>
      </c>
      <c r="H15" s="8" t="s">
        <v>485</v>
      </c>
      <c r="I15" s="8" t="s">
        <v>42</v>
      </c>
      <c r="J15" s="10">
        <f>VLOOKUP($H2,'Required Budget Information'!$D$2:$O$104,12,FALSE)</f>
        <v>42988</v>
      </c>
      <c r="K15" s="8" t="s">
        <v>618</v>
      </c>
      <c r="L15" s="8">
        <v>6266</v>
      </c>
      <c r="M15" s="11"/>
      <c r="N15" s="11"/>
      <c r="O15" s="11"/>
      <c r="P15" s="11" t="str">
        <f t="shared" si="0"/>
        <v/>
      </c>
    </row>
    <row r="16" spans="1:16" outlineLevel="1" x14ac:dyDescent="0.3">
      <c r="A16" s="4" t="s">
        <v>488</v>
      </c>
      <c r="B16" s="5" t="str">
        <f>VLOOKUP($H2,'Required Budget Information'!$D$2:$O$104,5,FALSE)</f>
        <v>Amitai Max Samuels</v>
      </c>
      <c r="C16" s="5" t="str">
        <f>VLOOKUP($H2,'Required Budget Information'!$D$2:$O$104,6,FALSE)</f>
        <v>(857) 206-3338</v>
      </c>
      <c r="D16" s="5" t="str">
        <f>VLOOKUP($H2,'Required Budget Information'!$D$2:$O$104,7,FALSE)</f>
        <v>maxsam@terpmail.umd.edu</v>
      </c>
      <c r="E16" s="5" t="str">
        <f>VLOOKUP($H2,'Required Budget Information'!$D$2:$O$104,8,FALSE)</f>
        <v>Jannah Laserson</v>
      </c>
      <c r="F16" s="5" t="str">
        <f>VLOOKUP($H2,'Required Budget Information'!$D$2:$O$104,9,FALSE)</f>
        <v>(216) 849-3384</v>
      </c>
      <c r="G16" s="5" t="str">
        <f>VLOOKUP($H2,'Required Budget Information'!$D$2:$O$104,10,FALSE)</f>
        <v>lasersonj@gmail.com</v>
      </c>
      <c r="H16" s="4" t="s">
        <v>485</v>
      </c>
      <c r="I16" s="4" t="s">
        <v>42</v>
      </c>
      <c r="J16" s="6">
        <f>VLOOKUP($H2,'Required Budget Information'!$D$2:$O$104,12,FALSE)</f>
        <v>42988</v>
      </c>
      <c r="K16" s="4" t="s">
        <v>559</v>
      </c>
      <c r="L16" s="4">
        <v>2331.5</v>
      </c>
      <c r="M16" s="7"/>
      <c r="N16" s="7"/>
      <c r="O16" s="7"/>
      <c r="P16" s="7" t="str">
        <f t="shared" si="0"/>
        <v/>
      </c>
    </row>
    <row r="17" spans="1:16" outlineLevel="1" x14ac:dyDescent="0.3">
      <c r="A17" s="8" t="s">
        <v>488</v>
      </c>
      <c r="B17" s="9" t="str">
        <f>VLOOKUP($H2,'Required Budget Information'!$D$2:$O$104,5,FALSE)</f>
        <v>Amitai Max Samuels</v>
      </c>
      <c r="C17" s="9" t="str">
        <f>VLOOKUP($H2,'Required Budget Information'!$D$2:$O$104,6,FALSE)</f>
        <v>(857) 206-3338</v>
      </c>
      <c r="D17" s="9" t="str">
        <f>VLOOKUP($H2,'Required Budget Information'!$D$2:$O$104,7,FALSE)</f>
        <v>maxsam@terpmail.umd.edu</v>
      </c>
      <c r="E17" s="9" t="str">
        <f>VLOOKUP($H2,'Required Budget Information'!$D$2:$O$104,8,FALSE)</f>
        <v>Jannah Laserson</v>
      </c>
      <c r="F17" s="9" t="str">
        <f>VLOOKUP($H2,'Required Budget Information'!$D$2:$O$104,9,FALSE)</f>
        <v>(216) 849-3384</v>
      </c>
      <c r="G17" s="9" t="str">
        <f>VLOOKUP($H2,'Required Budget Information'!$D$2:$O$104,10,FALSE)</f>
        <v>lasersonj@gmail.com</v>
      </c>
      <c r="H17" s="8" t="s">
        <v>485</v>
      </c>
      <c r="I17" s="8" t="s">
        <v>42</v>
      </c>
      <c r="J17" s="10">
        <f>VLOOKUP($H2,'Required Budget Information'!$D$2:$O$104,12,FALSE)</f>
        <v>42988</v>
      </c>
      <c r="K17" s="8" t="s">
        <v>568</v>
      </c>
      <c r="L17" s="8">
        <v>131.97999999999999</v>
      </c>
      <c r="M17" s="11"/>
      <c r="N17" s="11"/>
      <c r="O17" s="11"/>
      <c r="P17" s="11" t="str">
        <f t="shared" si="0"/>
        <v/>
      </c>
    </row>
    <row r="18" spans="1:16" outlineLevel="1" x14ac:dyDescent="0.3">
      <c r="A18" s="4" t="s">
        <v>488</v>
      </c>
      <c r="B18" s="5" t="str">
        <f>VLOOKUP($H2,'Required Budget Information'!$D$2:$O$104,5,FALSE)</f>
        <v>Amitai Max Samuels</v>
      </c>
      <c r="C18" s="5" t="str">
        <f>VLOOKUP($H2,'Required Budget Information'!$D$2:$O$104,6,FALSE)</f>
        <v>(857) 206-3338</v>
      </c>
      <c r="D18" s="5" t="str">
        <f>VLOOKUP($H2,'Required Budget Information'!$D$2:$O$104,7,FALSE)</f>
        <v>maxsam@terpmail.umd.edu</v>
      </c>
      <c r="E18" s="5" t="str">
        <f>VLOOKUP($H2,'Required Budget Information'!$D$2:$O$104,8,FALSE)</f>
        <v>Jannah Laserson</v>
      </c>
      <c r="F18" s="5" t="str">
        <f>VLOOKUP($H2,'Required Budget Information'!$D$2:$O$104,9,FALSE)</f>
        <v>(216) 849-3384</v>
      </c>
      <c r="G18" s="5" t="str">
        <f>VLOOKUP($H2,'Required Budget Information'!$D$2:$O$104,10,FALSE)</f>
        <v>lasersonj@gmail.com</v>
      </c>
      <c r="H18" s="4" t="s">
        <v>485</v>
      </c>
      <c r="I18" s="4" t="s">
        <v>42</v>
      </c>
      <c r="J18" s="6">
        <f>VLOOKUP($H2,'Required Budget Information'!$D$2:$O$104,12,FALSE)</f>
        <v>42988</v>
      </c>
      <c r="K18" s="4" t="s">
        <v>591</v>
      </c>
      <c r="L18" s="4">
        <v>234</v>
      </c>
      <c r="M18" s="7"/>
      <c r="N18" s="7"/>
      <c r="O18" s="7"/>
      <c r="P18" s="7" t="str">
        <f t="shared" si="0"/>
        <v/>
      </c>
    </row>
    <row r="19" spans="1:16" outlineLevel="1" x14ac:dyDescent="0.3">
      <c r="A19" s="8" t="s">
        <v>510</v>
      </c>
      <c r="B19" s="9" t="s">
        <v>744</v>
      </c>
      <c r="C19" s="9" t="s">
        <v>745</v>
      </c>
      <c r="D19" s="9" t="s">
        <v>746</v>
      </c>
      <c r="E19" s="9" t="s">
        <v>747</v>
      </c>
      <c r="F19" s="9" t="s">
        <v>748</v>
      </c>
      <c r="G19" s="9" t="s">
        <v>749</v>
      </c>
      <c r="H19" s="8" t="s">
        <v>511</v>
      </c>
      <c r="I19" s="8" t="s">
        <v>512</v>
      </c>
      <c r="J19" s="10">
        <v>42981</v>
      </c>
      <c r="K19" s="8" t="s">
        <v>572</v>
      </c>
      <c r="L19" s="8">
        <v>2560</v>
      </c>
      <c r="M19" s="11"/>
      <c r="N19" s="11"/>
      <c r="O19" s="11"/>
      <c r="P19" s="11" t="str">
        <f t="shared" si="0"/>
        <v/>
      </c>
    </row>
    <row r="20" spans="1:16" outlineLevel="1" x14ac:dyDescent="0.3">
      <c r="A20" s="4" t="s">
        <v>507</v>
      </c>
      <c r="B20" s="5" t="s">
        <v>760</v>
      </c>
      <c r="C20" s="5" t="s">
        <v>761</v>
      </c>
      <c r="D20" s="5" t="s">
        <v>762</v>
      </c>
      <c r="E20" s="5" t="s">
        <v>763</v>
      </c>
      <c r="F20" s="5" t="s">
        <v>764</v>
      </c>
      <c r="G20" s="5" t="s">
        <v>765</v>
      </c>
      <c r="H20" s="4" t="s">
        <v>173</v>
      </c>
      <c r="I20" s="4" t="s">
        <v>508</v>
      </c>
      <c r="J20" s="6">
        <v>42988</v>
      </c>
      <c r="K20" s="4" t="s">
        <v>561</v>
      </c>
      <c r="L20" s="4">
        <v>23.59</v>
      </c>
      <c r="M20" s="7"/>
      <c r="N20" s="7"/>
      <c r="O20" s="7"/>
      <c r="P20" s="7" t="str">
        <f t="shared" si="0"/>
        <v/>
      </c>
    </row>
    <row r="21" spans="1:16" outlineLevel="1" x14ac:dyDescent="0.3">
      <c r="A21" s="8" t="s">
        <v>507</v>
      </c>
      <c r="B21" s="9" t="s">
        <v>760</v>
      </c>
      <c r="C21" s="9" t="s">
        <v>761</v>
      </c>
      <c r="D21" s="9" t="s">
        <v>762</v>
      </c>
      <c r="E21" s="9" t="s">
        <v>763</v>
      </c>
      <c r="F21" s="9" t="s">
        <v>764</v>
      </c>
      <c r="G21" s="9" t="s">
        <v>765</v>
      </c>
      <c r="H21" s="8" t="s">
        <v>173</v>
      </c>
      <c r="I21" s="8" t="s">
        <v>508</v>
      </c>
      <c r="J21" s="10">
        <v>42988</v>
      </c>
      <c r="K21" s="8" t="s">
        <v>556</v>
      </c>
      <c r="L21" s="8">
        <v>191</v>
      </c>
      <c r="M21" s="11"/>
      <c r="N21" s="11"/>
      <c r="O21" s="11"/>
      <c r="P21" s="11" t="str">
        <f t="shared" si="0"/>
        <v/>
      </c>
    </row>
    <row r="22" spans="1:16" outlineLevel="1" x14ac:dyDescent="0.3">
      <c r="A22" s="4" t="s">
        <v>507</v>
      </c>
      <c r="B22" s="5" t="s">
        <v>760</v>
      </c>
      <c r="C22" s="5" t="s">
        <v>761</v>
      </c>
      <c r="D22" s="5" t="s">
        <v>762</v>
      </c>
      <c r="E22" s="5" t="s">
        <v>763</v>
      </c>
      <c r="F22" s="5" t="s">
        <v>764</v>
      </c>
      <c r="G22" s="5" t="s">
        <v>765</v>
      </c>
      <c r="H22" s="4" t="s">
        <v>173</v>
      </c>
      <c r="I22" s="4" t="s">
        <v>508</v>
      </c>
      <c r="J22" s="6">
        <v>42988</v>
      </c>
      <c r="K22" s="4" t="s">
        <v>550</v>
      </c>
      <c r="L22" s="4">
        <v>106.5</v>
      </c>
      <c r="M22" s="7"/>
      <c r="N22" s="7"/>
      <c r="O22" s="7"/>
      <c r="P22" s="7" t="str">
        <f t="shared" si="0"/>
        <v/>
      </c>
    </row>
    <row r="23" spans="1:16" outlineLevel="1" x14ac:dyDescent="0.3">
      <c r="A23" s="8" t="s">
        <v>507</v>
      </c>
      <c r="B23" s="9" t="s">
        <v>760</v>
      </c>
      <c r="C23" s="9" t="s">
        <v>761</v>
      </c>
      <c r="D23" s="9" t="s">
        <v>762</v>
      </c>
      <c r="E23" s="9" t="s">
        <v>763</v>
      </c>
      <c r="F23" s="9" t="s">
        <v>764</v>
      </c>
      <c r="G23" s="9" t="s">
        <v>765</v>
      </c>
      <c r="H23" s="8" t="s">
        <v>173</v>
      </c>
      <c r="I23" s="8" t="s">
        <v>508</v>
      </c>
      <c r="J23" s="10">
        <v>42988</v>
      </c>
      <c r="K23" s="8" t="s">
        <v>556</v>
      </c>
      <c r="L23" s="8">
        <v>220</v>
      </c>
      <c r="M23" s="11"/>
      <c r="N23" s="11"/>
      <c r="O23" s="11"/>
      <c r="P23" s="11" t="str">
        <f t="shared" si="0"/>
        <v/>
      </c>
    </row>
    <row r="24" spans="1:16" outlineLevel="1" x14ac:dyDescent="0.3">
      <c r="A24" s="4" t="s">
        <v>493</v>
      </c>
      <c r="B24" s="5" t="s">
        <v>769</v>
      </c>
      <c r="C24" s="5" t="s">
        <v>770</v>
      </c>
      <c r="D24" s="5" t="s">
        <v>771</v>
      </c>
      <c r="E24" s="5" t="s">
        <v>772</v>
      </c>
      <c r="F24" s="5" t="s">
        <v>773</v>
      </c>
      <c r="G24" s="5" t="s">
        <v>774</v>
      </c>
      <c r="H24" s="4" t="s">
        <v>494</v>
      </c>
      <c r="I24" s="4" t="s">
        <v>495</v>
      </c>
      <c r="J24" s="6">
        <v>42977</v>
      </c>
      <c r="K24" s="4" t="s">
        <v>550</v>
      </c>
      <c r="L24" s="4">
        <v>4320</v>
      </c>
      <c r="M24" s="7"/>
      <c r="N24" s="7"/>
      <c r="O24" s="7"/>
      <c r="P24" s="7" t="str">
        <f t="shared" si="0"/>
        <v/>
      </c>
    </row>
    <row r="25" spans="1:16" outlineLevel="1" x14ac:dyDescent="0.3">
      <c r="A25" s="8" t="s">
        <v>504</v>
      </c>
      <c r="B25" s="9" t="s">
        <v>760</v>
      </c>
      <c r="C25" s="9" t="s">
        <v>761</v>
      </c>
      <c r="D25" s="9" t="s">
        <v>762</v>
      </c>
      <c r="E25" s="9" t="s">
        <v>763</v>
      </c>
      <c r="F25" s="9" t="s">
        <v>764</v>
      </c>
      <c r="G25" s="9" t="s">
        <v>765</v>
      </c>
      <c r="H25" s="8" t="s">
        <v>173</v>
      </c>
      <c r="I25" s="8" t="s">
        <v>505</v>
      </c>
      <c r="J25" s="10">
        <v>42994</v>
      </c>
      <c r="K25" s="8" t="s">
        <v>561</v>
      </c>
      <c r="L25" s="8">
        <v>175.2</v>
      </c>
      <c r="M25" s="11"/>
      <c r="N25" s="11"/>
      <c r="O25" s="11"/>
      <c r="P25" s="11" t="str">
        <f t="shared" si="0"/>
        <v/>
      </c>
    </row>
    <row r="26" spans="1:16" outlineLevel="1" x14ac:dyDescent="0.3">
      <c r="A26" s="4" t="s">
        <v>490</v>
      </c>
      <c r="B26" s="5" t="s">
        <v>760</v>
      </c>
      <c r="C26" s="5" t="s">
        <v>761</v>
      </c>
      <c r="D26" s="5" t="s">
        <v>762</v>
      </c>
      <c r="E26" s="5" t="s">
        <v>763</v>
      </c>
      <c r="F26" s="5" t="s">
        <v>764</v>
      </c>
      <c r="G26" s="5" t="s">
        <v>765</v>
      </c>
      <c r="H26" s="4" t="s">
        <v>173</v>
      </c>
      <c r="I26" s="4" t="s">
        <v>491</v>
      </c>
      <c r="J26" s="6">
        <v>42972</v>
      </c>
      <c r="K26" s="4" t="s">
        <v>561</v>
      </c>
      <c r="L26" s="4">
        <v>197.03</v>
      </c>
      <c r="M26" s="7"/>
      <c r="N26" s="7"/>
      <c r="O26" s="7"/>
      <c r="P26" s="7" t="str">
        <f t="shared" si="0"/>
        <v/>
      </c>
    </row>
    <row r="27" spans="1:16" outlineLevel="1" x14ac:dyDescent="0.3">
      <c r="A27" s="8" t="s">
        <v>282</v>
      </c>
      <c r="B27" s="9" t="s">
        <v>780</v>
      </c>
      <c r="C27" s="9" t="s">
        <v>781</v>
      </c>
      <c r="D27" s="9" t="s">
        <v>782</v>
      </c>
      <c r="E27" s="9" t="s">
        <v>783</v>
      </c>
      <c r="F27" s="9" t="s">
        <v>784</v>
      </c>
      <c r="G27" s="9" t="s">
        <v>785</v>
      </c>
      <c r="H27" s="8" t="s">
        <v>283</v>
      </c>
      <c r="I27" s="8" t="s">
        <v>284</v>
      </c>
      <c r="J27" s="10">
        <v>43029</v>
      </c>
      <c r="K27" s="8" t="s">
        <v>568</v>
      </c>
      <c r="L27" s="8">
        <v>60.849999999999994</v>
      </c>
      <c r="M27" s="11"/>
      <c r="N27" s="11"/>
      <c r="O27" s="11"/>
      <c r="P27" s="11" t="str">
        <f t="shared" si="0"/>
        <v/>
      </c>
    </row>
    <row r="28" spans="1:16" outlineLevel="1" x14ac:dyDescent="0.3">
      <c r="A28" s="4" t="s">
        <v>176</v>
      </c>
      <c r="B28" s="5" t="str">
        <f>VLOOKUP($H2,'Required Budget Information'!$D$2:$O$104,5,FALSE)</f>
        <v>Amitai Max Samuels</v>
      </c>
      <c r="C28" s="5" t="str">
        <f>VLOOKUP($H2,'Required Budget Information'!$D$2:$O$104,6,FALSE)</f>
        <v>(857) 206-3338</v>
      </c>
      <c r="D28" s="5" t="str">
        <f>VLOOKUP($H2,'Required Budget Information'!$D$2:$O$104,7,FALSE)</f>
        <v>maxsam@terpmail.umd.edu</v>
      </c>
      <c r="E28" s="5" t="str">
        <f>VLOOKUP($H2,'Required Budget Information'!$D$2:$O$104,8,FALSE)</f>
        <v>Jannah Laserson</v>
      </c>
      <c r="F28" s="5" t="str">
        <f>VLOOKUP($H2,'Required Budget Information'!$D$2:$O$104,9,FALSE)</f>
        <v>(216) 849-3384</v>
      </c>
      <c r="G28" s="5" t="str">
        <f>VLOOKUP($H2,'Required Budget Information'!$D$2:$O$104,10,FALSE)</f>
        <v>lasersonj@gmail.com</v>
      </c>
      <c r="H28" s="4" t="s">
        <v>177</v>
      </c>
      <c r="I28" s="4" t="s">
        <v>178</v>
      </c>
      <c r="J28" s="6">
        <f>VLOOKUP($H2,'Required Budget Information'!$D$2:$O$104,12,FALSE)</f>
        <v>42988</v>
      </c>
      <c r="K28" s="4" t="s">
        <v>580</v>
      </c>
      <c r="L28" s="4">
        <v>819.8</v>
      </c>
      <c r="M28" s="7"/>
      <c r="N28" s="7"/>
      <c r="O28" s="7"/>
      <c r="P28" s="7" t="str">
        <f t="shared" si="0"/>
        <v/>
      </c>
    </row>
    <row r="29" spans="1:16" outlineLevel="1" x14ac:dyDescent="0.3">
      <c r="A29" s="8" t="s">
        <v>238</v>
      </c>
      <c r="B29" s="9" t="s">
        <v>796</v>
      </c>
      <c r="C29" s="9" t="s">
        <v>797</v>
      </c>
      <c r="D29" s="9" t="s">
        <v>798</v>
      </c>
      <c r="E29" s="9" t="s">
        <v>799</v>
      </c>
      <c r="F29" s="9" t="s">
        <v>800</v>
      </c>
      <c r="G29" s="9" t="s">
        <v>801</v>
      </c>
      <c r="H29" s="8" t="s">
        <v>239</v>
      </c>
      <c r="I29" s="8" t="s">
        <v>240</v>
      </c>
      <c r="J29" s="10">
        <v>42977</v>
      </c>
      <c r="K29" s="8" t="s">
        <v>550</v>
      </c>
      <c r="L29" s="8">
        <v>750</v>
      </c>
      <c r="M29" s="11"/>
      <c r="N29" s="11"/>
      <c r="O29" s="11"/>
      <c r="P29" s="11" t="str">
        <f t="shared" si="0"/>
        <v/>
      </c>
    </row>
    <row r="30" spans="1:16" outlineLevel="1" x14ac:dyDescent="0.3">
      <c r="A30" s="4" t="s">
        <v>375</v>
      </c>
      <c r="B30" s="5" t="s">
        <v>804</v>
      </c>
      <c r="C30" s="5" t="s">
        <v>805</v>
      </c>
      <c r="D30" s="5" t="s">
        <v>806</v>
      </c>
      <c r="E30" s="5" t="s">
        <v>807</v>
      </c>
      <c r="F30" s="5" t="s">
        <v>808</v>
      </c>
      <c r="G30" s="5" t="s">
        <v>809</v>
      </c>
      <c r="H30" s="4" t="s">
        <v>376</v>
      </c>
      <c r="I30" s="4" t="s">
        <v>377</v>
      </c>
      <c r="J30" s="6">
        <v>42973</v>
      </c>
      <c r="K30" s="4" t="s">
        <v>550</v>
      </c>
      <c r="L30" s="4">
        <v>705</v>
      </c>
      <c r="M30" s="7"/>
      <c r="N30" s="7"/>
      <c r="O30" s="7"/>
      <c r="P30" s="7" t="str">
        <f t="shared" si="0"/>
        <v/>
      </c>
    </row>
    <row r="31" spans="1:16" outlineLevel="1" x14ac:dyDescent="0.3">
      <c r="A31" s="8" t="s">
        <v>375</v>
      </c>
      <c r="B31" s="9" t="s">
        <v>804</v>
      </c>
      <c r="C31" s="9" t="s">
        <v>805</v>
      </c>
      <c r="D31" s="9" t="s">
        <v>806</v>
      </c>
      <c r="E31" s="9" t="s">
        <v>807</v>
      </c>
      <c r="F31" s="9" t="s">
        <v>808</v>
      </c>
      <c r="G31" s="9" t="s">
        <v>809</v>
      </c>
      <c r="H31" s="8" t="s">
        <v>376</v>
      </c>
      <c r="I31" s="8" t="s">
        <v>377</v>
      </c>
      <c r="J31" s="10">
        <v>42973</v>
      </c>
      <c r="K31" s="8" t="s">
        <v>552</v>
      </c>
      <c r="L31" s="8">
        <v>730</v>
      </c>
      <c r="M31" s="11"/>
      <c r="N31" s="11"/>
      <c r="O31" s="11"/>
      <c r="P31" s="11" t="str">
        <f t="shared" si="0"/>
        <v/>
      </c>
    </row>
    <row r="32" spans="1:16" outlineLevel="1" x14ac:dyDescent="0.3">
      <c r="A32" s="4" t="s">
        <v>375</v>
      </c>
      <c r="B32" s="5" t="s">
        <v>804</v>
      </c>
      <c r="C32" s="5" t="s">
        <v>805</v>
      </c>
      <c r="D32" s="5" t="s">
        <v>806</v>
      </c>
      <c r="E32" s="5" t="s">
        <v>807</v>
      </c>
      <c r="F32" s="5" t="s">
        <v>808</v>
      </c>
      <c r="G32" s="5" t="s">
        <v>809</v>
      </c>
      <c r="H32" s="4" t="s">
        <v>376</v>
      </c>
      <c r="I32" s="4" t="s">
        <v>377</v>
      </c>
      <c r="J32" s="6">
        <v>42973</v>
      </c>
      <c r="K32" s="4" t="s">
        <v>556</v>
      </c>
      <c r="L32" s="4">
        <v>525</v>
      </c>
      <c r="M32" s="7"/>
      <c r="N32" s="7"/>
      <c r="O32" s="7"/>
      <c r="P32" s="7" t="str">
        <f t="shared" si="0"/>
        <v/>
      </c>
    </row>
    <row r="33" spans="1:16" outlineLevel="1" x14ac:dyDescent="0.3">
      <c r="A33" s="8" t="s">
        <v>375</v>
      </c>
      <c r="B33" s="9" t="s">
        <v>804</v>
      </c>
      <c r="C33" s="9" t="s">
        <v>805</v>
      </c>
      <c r="D33" s="9" t="s">
        <v>806</v>
      </c>
      <c r="E33" s="9" t="s">
        <v>807</v>
      </c>
      <c r="F33" s="9" t="s">
        <v>808</v>
      </c>
      <c r="G33" s="9" t="s">
        <v>809</v>
      </c>
      <c r="H33" s="8" t="s">
        <v>376</v>
      </c>
      <c r="I33" s="8" t="s">
        <v>377</v>
      </c>
      <c r="J33" s="10">
        <v>42973</v>
      </c>
      <c r="K33" s="8" t="s">
        <v>580</v>
      </c>
      <c r="L33" s="8">
        <v>2822.22</v>
      </c>
      <c r="M33" s="11"/>
      <c r="N33" s="11"/>
      <c r="O33" s="11"/>
      <c r="P33" s="11" t="str">
        <f t="shared" si="0"/>
        <v/>
      </c>
    </row>
    <row r="34" spans="1:16" outlineLevel="1" x14ac:dyDescent="0.3">
      <c r="A34" s="4" t="s">
        <v>375</v>
      </c>
      <c r="B34" s="5" t="s">
        <v>804</v>
      </c>
      <c r="C34" s="5" t="s">
        <v>805</v>
      </c>
      <c r="D34" s="5" t="s">
        <v>806</v>
      </c>
      <c r="E34" s="5" t="s">
        <v>807</v>
      </c>
      <c r="F34" s="5" t="s">
        <v>808</v>
      </c>
      <c r="G34" s="5" t="s">
        <v>809</v>
      </c>
      <c r="H34" s="4" t="s">
        <v>376</v>
      </c>
      <c r="I34" s="4" t="s">
        <v>377</v>
      </c>
      <c r="J34" s="6">
        <v>42973</v>
      </c>
      <c r="K34" s="4" t="s">
        <v>552</v>
      </c>
      <c r="L34" s="4">
        <v>220</v>
      </c>
      <c r="M34" s="7"/>
      <c r="N34" s="7"/>
      <c r="O34" s="7"/>
      <c r="P34" s="7" t="str">
        <f t="shared" si="0"/>
        <v/>
      </c>
    </row>
    <row r="35" spans="1:16" outlineLevel="1" x14ac:dyDescent="0.3">
      <c r="A35" s="8" t="s">
        <v>375</v>
      </c>
      <c r="B35" s="9" t="s">
        <v>804</v>
      </c>
      <c r="C35" s="9" t="s">
        <v>805</v>
      </c>
      <c r="D35" s="9" t="s">
        <v>806</v>
      </c>
      <c r="E35" s="9" t="s">
        <v>807</v>
      </c>
      <c r="F35" s="9" t="s">
        <v>808</v>
      </c>
      <c r="G35" s="9" t="s">
        <v>809</v>
      </c>
      <c r="H35" s="8" t="s">
        <v>376</v>
      </c>
      <c r="I35" s="8" t="s">
        <v>377</v>
      </c>
      <c r="J35" s="10">
        <v>42973</v>
      </c>
      <c r="K35" s="8" t="s">
        <v>561</v>
      </c>
      <c r="L35" s="8">
        <v>219.89</v>
      </c>
      <c r="M35" s="11"/>
      <c r="N35" s="11"/>
      <c r="O35" s="11"/>
      <c r="P35" s="11" t="str">
        <f t="shared" si="0"/>
        <v/>
      </c>
    </row>
    <row r="36" spans="1:16" outlineLevel="1" x14ac:dyDescent="0.3">
      <c r="A36" s="4" t="s">
        <v>375</v>
      </c>
      <c r="B36" s="5" t="s">
        <v>804</v>
      </c>
      <c r="C36" s="5" t="s">
        <v>805</v>
      </c>
      <c r="D36" s="5" t="s">
        <v>806</v>
      </c>
      <c r="E36" s="5" t="s">
        <v>807</v>
      </c>
      <c r="F36" s="5" t="s">
        <v>808</v>
      </c>
      <c r="G36" s="5" t="s">
        <v>809</v>
      </c>
      <c r="H36" s="4" t="s">
        <v>376</v>
      </c>
      <c r="I36" s="4" t="s">
        <v>377</v>
      </c>
      <c r="J36" s="6">
        <v>42973</v>
      </c>
      <c r="K36" s="4" t="s">
        <v>570</v>
      </c>
      <c r="L36" s="4">
        <v>475</v>
      </c>
      <c r="M36" s="7"/>
      <c r="N36" s="7"/>
      <c r="O36" s="7"/>
      <c r="P36" s="7" t="str">
        <f t="shared" si="0"/>
        <v/>
      </c>
    </row>
    <row r="37" spans="1:16" outlineLevel="1" x14ac:dyDescent="0.3">
      <c r="A37" s="8" t="s">
        <v>375</v>
      </c>
      <c r="B37" s="9" t="s">
        <v>804</v>
      </c>
      <c r="C37" s="9" t="s">
        <v>805</v>
      </c>
      <c r="D37" s="9" t="s">
        <v>806</v>
      </c>
      <c r="E37" s="9" t="s">
        <v>807</v>
      </c>
      <c r="F37" s="9" t="s">
        <v>808</v>
      </c>
      <c r="G37" s="9" t="s">
        <v>809</v>
      </c>
      <c r="H37" s="8" t="s">
        <v>376</v>
      </c>
      <c r="I37" s="8" t="s">
        <v>377</v>
      </c>
      <c r="J37" s="10">
        <v>42973</v>
      </c>
      <c r="K37" s="8" t="s">
        <v>561</v>
      </c>
      <c r="L37" s="8">
        <v>325</v>
      </c>
      <c r="M37" s="11"/>
      <c r="N37" s="11"/>
      <c r="O37" s="11"/>
      <c r="P37" s="11" t="str">
        <f t="shared" si="0"/>
        <v/>
      </c>
    </row>
    <row r="38" spans="1:16" outlineLevel="1" x14ac:dyDescent="0.3">
      <c r="A38" s="4" t="s">
        <v>375</v>
      </c>
      <c r="B38" s="5" t="s">
        <v>804</v>
      </c>
      <c r="C38" s="5" t="s">
        <v>805</v>
      </c>
      <c r="D38" s="5" t="s">
        <v>806</v>
      </c>
      <c r="E38" s="5" t="s">
        <v>807</v>
      </c>
      <c r="F38" s="5" t="s">
        <v>808</v>
      </c>
      <c r="G38" s="5" t="s">
        <v>809</v>
      </c>
      <c r="H38" s="4" t="s">
        <v>376</v>
      </c>
      <c r="I38" s="4" t="s">
        <v>377</v>
      </c>
      <c r="J38" s="6">
        <v>42973</v>
      </c>
      <c r="K38" s="4" t="s">
        <v>554</v>
      </c>
      <c r="L38" s="4">
        <v>125</v>
      </c>
      <c r="M38" s="7"/>
      <c r="N38" s="7"/>
      <c r="O38" s="7"/>
      <c r="P38" s="7" t="str">
        <f t="shared" si="0"/>
        <v/>
      </c>
    </row>
    <row r="39" spans="1:16" outlineLevel="1" x14ac:dyDescent="0.3">
      <c r="A39" s="8" t="s">
        <v>381</v>
      </c>
      <c r="B39" s="9" t="s">
        <v>813</v>
      </c>
      <c r="C39" s="9" t="s">
        <v>814</v>
      </c>
      <c r="D39" s="9" t="s">
        <v>815</v>
      </c>
      <c r="E39" s="9" t="s">
        <v>816</v>
      </c>
      <c r="F39" s="9" t="s">
        <v>817</v>
      </c>
      <c r="G39" s="9" t="s">
        <v>818</v>
      </c>
      <c r="H39" s="8" t="s">
        <v>382</v>
      </c>
      <c r="I39" s="8" t="s">
        <v>42</v>
      </c>
      <c r="J39" s="10">
        <v>42990</v>
      </c>
      <c r="K39" s="8" t="s">
        <v>552</v>
      </c>
      <c r="L39" s="8">
        <v>180</v>
      </c>
      <c r="M39" s="11"/>
      <c r="N39" s="11"/>
      <c r="O39" s="11"/>
      <c r="P39" s="11" t="str">
        <f t="shared" si="0"/>
        <v/>
      </c>
    </row>
    <row r="40" spans="1:16" outlineLevel="1" x14ac:dyDescent="0.3">
      <c r="A40" s="4" t="s">
        <v>364</v>
      </c>
      <c r="B40" s="5" t="s">
        <v>820</v>
      </c>
      <c r="C40" s="5" t="s">
        <v>821</v>
      </c>
      <c r="D40" s="5" t="s">
        <v>822</v>
      </c>
      <c r="E40" s="5" t="s">
        <v>823</v>
      </c>
      <c r="F40" s="5" t="s">
        <v>824</v>
      </c>
      <c r="G40" s="5" t="s">
        <v>825</v>
      </c>
      <c r="H40" s="4" t="s">
        <v>355</v>
      </c>
      <c r="I40" s="4" t="s">
        <v>365</v>
      </c>
      <c r="J40" s="6">
        <v>42975</v>
      </c>
      <c r="K40" s="4" t="s">
        <v>556</v>
      </c>
      <c r="L40" s="4">
        <v>490</v>
      </c>
      <c r="M40" s="7"/>
      <c r="N40" s="7"/>
      <c r="O40" s="7"/>
      <c r="P40" s="7" t="str">
        <f t="shared" si="0"/>
        <v/>
      </c>
    </row>
    <row r="41" spans="1:16" outlineLevel="1" x14ac:dyDescent="0.3">
      <c r="A41" s="8" t="s">
        <v>364</v>
      </c>
      <c r="B41" s="9" t="s">
        <v>820</v>
      </c>
      <c r="C41" s="9" t="s">
        <v>821</v>
      </c>
      <c r="D41" s="9" t="s">
        <v>822</v>
      </c>
      <c r="E41" s="9" t="s">
        <v>823</v>
      </c>
      <c r="F41" s="9" t="s">
        <v>824</v>
      </c>
      <c r="G41" s="9" t="s">
        <v>825</v>
      </c>
      <c r="H41" s="8" t="s">
        <v>355</v>
      </c>
      <c r="I41" s="8" t="s">
        <v>365</v>
      </c>
      <c r="J41" s="10">
        <v>42975</v>
      </c>
      <c r="K41" s="8" t="s">
        <v>556</v>
      </c>
      <c r="L41" s="8">
        <v>200</v>
      </c>
      <c r="M41" s="11"/>
      <c r="N41" s="11"/>
      <c r="O41" s="11"/>
      <c r="P41" s="11" t="str">
        <f t="shared" si="0"/>
        <v/>
      </c>
    </row>
    <row r="42" spans="1:16" outlineLevel="1" x14ac:dyDescent="0.3">
      <c r="A42" s="4" t="s">
        <v>364</v>
      </c>
      <c r="B42" s="5" t="s">
        <v>820</v>
      </c>
      <c r="C42" s="5" t="s">
        <v>821</v>
      </c>
      <c r="D42" s="5" t="s">
        <v>822</v>
      </c>
      <c r="E42" s="5" t="s">
        <v>823</v>
      </c>
      <c r="F42" s="5" t="s">
        <v>824</v>
      </c>
      <c r="G42" s="5" t="s">
        <v>825</v>
      </c>
      <c r="H42" s="4" t="s">
        <v>355</v>
      </c>
      <c r="I42" s="4" t="s">
        <v>365</v>
      </c>
      <c r="J42" s="6">
        <v>42975</v>
      </c>
      <c r="K42" s="4" t="s">
        <v>556</v>
      </c>
      <c r="L42" s="4">
        <v>250</v>
      </c>
      <c r="M42" s="7"/>
      <c r="N42" s="7"/>
      <c r="O42" s="7"/>
      <c r="P42" s="7" t="str">
        <f t="shared" si="0"/>
        <v/>
      </c>
    </row>
    <row r="43" spans="1:16" outlineLevel="1" x14ac:dyDescent="0.3">
      <c r="A43" s="8" t="s">
        <v>361</v>
      </c>
      <c r="B43" s="9" t="s">
        <v>820</v>
      </c>
      <c r="C43" s="9" t="s">
        <v>821</v>
      </c>
      <c r="D43" s="9" t="s">
        <v>822</v>
      </c>
      <c r="E43" s="9" t="s">
        <v>823</v>
      </c>
      <c r="F43" s="9" t="s">
        <v>824</v>
      </c>
      <c r="G43" s="9" t="s">
        <v>825</v>
      </c>
      <c r="H43" s="8" t="s">
        <v>355</v>
      </c>
      <c r="I43" s="8" t="s">
        <v>362</v>
      </c>
      <c r="J43" s="10">
        <v>42979</v>
      </c>
      <c r="K43" s="8" t="s">
        <v>556</v>
      </c>
      <c r="L43" s="8">
        <v>300</v>
      </c>
      <c r="M43" s="11"/>
      <c r="N43" s="11"/>
      <c r="O43" s="11"/>
      <c r="P43" s="11" t="str">
        <f t="shared" si="0"/>
        <v/>
      </c>
    </row>
    <row r="44" spans="1:16" outlineLevel="1" x14ac:dyDescent="0.3">
      <c r="A44" s="4" t="s">
        <v>361</v>
      </c>
      <c r="B44" s="5" t="s">
        <v>820</v>
      </c>
      <c r="C44" s="5" t="s">
        <v>821</v>
      </c>
      <c r="D44" s="5" t="s">
        <v>822</v>
      </c>
      <c r="E44" s="5" t="s">
        <v>823</v>
      </c>
      <c r="F44" s="5" t="s">
        <v>824</v>
      </c>
      <c r="G44" s="5" t="s">
        <v>825</v>
      </c>
      <c r="H44" s="4" t="s">
        <v>355</v>
      </c>
      <c r="I44" s="4" t="s">
        <v>362</v>
      </c>
      <c r="J44" s="6">
        <v>42979</v>
      </c>
      <c r="K44" s="4" t="s">
        <v>556</v>
      </c>
      <c r="L44" s="4">
        <v>100</v>
      </c>
      <c r="M44" s="7"/>
      <c r="N44" s="7"/>
      <c r="O44" s="7"/>
      <c r="P44" s="7" t="str">
        <f t="shared" si="0"/>
        <v/>
      </c>
    </row>
    <row r="45" spans="1:16" outlineLevel="1" x14ac:dyDescent="0.3">
      <c r="A45" s="8" t="s">
        <v>358</v>
      </c>
      <c r="B45" s="9" t="s">
        <v>820</v>
      </c>
      <c r="C45" s="9" t="s">
        <v>821</v>
      </c>
      <c r="D45" s="9" t="s">
        <v>822</v>
      </c>
      <c r="E45" s="9" t="s">
        <v>823</v>
      </c>
      <c r="F45" s="9" t="s">
        <v>824</v>
      </c>
      <c r="G45" s="9" t="s">
        <v>825</v>
      </c>
      <c r="H45" s="8" t="s">
        <v>355</v>
      </c>
      <c r="I45" s="8" t="s">
        <v>359</v>
      </c>
      <c r="J45" s="10">
        <v>43009</v>
      </c>
      <c r="K45" s="8" t="s">
        <v>556</v>
      </c>
      <c r="L45" s="8">
        <v>200</v>
      </c>
      <c r="M45" s="11"/>
      <c r="N45" s="11"/>
      <c r="O45" s="11"/>
      <c r="P45" s="11" t="str">
        <f t="shared" si="0"/>
        <v/>
      </c>
    </row>
    <row r="46" spans="1:16" outlineLevel="1" x14ac:dyDescent="0.3">
      <c r="A46" s="4" t="s">
        <v>358</v>
      </c>
      <c r="B46" s="5" t="s">
        <v>820</v>
      </c>
      <c r="C46" s="5" t="s">
        <v>821</v>
      </c>
      <c r="D46" s="5" t="s">
        <v>822</v>
      </c>
      <c r="E46" s="5" t="s">
        <v>823</v>
      </c>
      <c r="F46" s="5" t="s">
        <v>824</v>
      </c>
      <c r="G46" s="5" t="s">
        <v>825</v>
      </c>
      <c r="H46" s="4" t="s">
        <v>355</v>
      </c>
      <c r="I46" s="4" t="s">
        <v>359</v>
      </c>
      <c r="J46" s="6">
        <v>43009</v>
      </c>
      <c r="K46" s="4" t="s">
        <v>556</v>
      </c>
      <c r="L46" s="4">
        <v>200</v>
      </c>
      <c r="M46" s="7"/>
      <c r="N46" s="7"/>
      <c r="O46" s="7"/>
      <c r="P46" s="7" t="str">
        <f t="shared" si="0"/>
        <v/>
      </c>
    </row>
    <row r="47" spans="1:16" outlineLevel="1" x14ac:dyDescent="0.3">
      <c r="A47" s="8" t="s">
        <v>354</v>
      </c>
      <c r="B47" s="9" t="s">
        <v>820</v>
      </c>
      <c r="C47" s="9" t="s">
        <v>821</v>
      </c>
      <c r="D47" s="9" t="s">
        <v>822</v>
      </c>
      <c r="E47" s="9" t="s">
        <v>823</v>
      </c>
      <c r="F47" s="9" t="s">
        <v>824</v>
      </c>
      <c r="G47" s="9" t="s">
        <v>825</v>
      </c>
      <c r="H47" s="8" t="s">
        <v>355</v>
      </c>
      <c r="I47" s="8" t="s">
        <v>356</v>
      </c>
      <c r="J47" s="10">
        <v>43040</v>
      </c>
      <c r="K47" s="8" t="s">
        <v>556</v>
      </c>
      <c r="L47" s="8">
        <v>200</v>
      </c>
      <c r="M47" s="11"/>
      <c r="N47" s="11"/>
      <c r="O47" s="11"/>
      <c r="P47" s="11" t="str">
        <f t="shared" si="0"/>
        <v/>
      </c>
    </row>
    <row r="48" spans="1:16" outlineLevel="1" x14ac:dyDescent="0.3">
      <c r="A48" s="4" t="s">
        <v>354</v>
      </c>
      <c r="B48" s="5" t="s">
        <v>820</v>
      </c>
      <c r="C48" s="5" t="s">
        <v>821</v>
      </c>
      <c r="D48" s="5" t="s">
        <v>822</v>
      </c>
      <c r="E48" s="5" t="s">
        <v>823</v>
      </c>
      <c r="F48" s="5" t="s">
        <v>824</v>
      </c>
      <c r="G48" s="5" t="s">
        <v>825</v>
      </c>
      <c r="H48" s="4" t="s">
        <v>355</v>
      </c>
      <c r="I48" s="4" t="s">
        <v>356</v>
      </c>
      <c r="J48" s="6">
        <v>43040</v>
      </c>
      <c r="K48" s="4" t="s">
        <v>556</v>
      </c>
      <c r="L48" s="4">
        <v>150</v>
      </c>
      <c r="M48" s="7"/>
      <c r="N48" s="7"/>
      <c r="O48" s="7"/>
      <c r="P48" s="7" t="str">
        <f t="shared" si="0"/>
        <v/>
      </c>
    </row>
    <row r="49" spans="1:16" outlineLevel="1" x14ac:dyDescent="0.3">
      <c r="A49" s="8" t="s">
        <v>367</v>
      </c>
      <c r="B49" s="9" t="str">
        <f>VLOOKUP($H2,'Required Budget Information'!$D$2:$O$104,5,FALSE)</f>
        <v>Amitai Max Samuels</v>
      </c>
      <c r="C49" s="9" t="str">
        <f>VLOOKUP($H2,'Required Budget Information'!$D$2:$O$104,6,FALSE)</f>
        <v>(857) 206-3338</v>
      </c>
      <c r="D49" s="9" t="str">
        <f>VLOOKUP($H2,'Required Budget Information'!$D$2:$O$104,7,FALSE)</f>
        <v>maxsam@terpmail.umd.edu</v>
      </c>
      <c r="E49" s="9" t="str">
        <f>VLOOKUP($H2,'Required Budget Information'!$D$2:$O$104,8,FALSE)</f>
        <v>Jannah Laserson</v>
      </c>
      <c r="F49" s="9" t="str">
        <f>VLOOKUP($H2,'Required Budget Information'!$D$2:$O$104,9,FALSE)</f>
        <v>(216) 849-3384</v>
      </c>
      <c r="G49" s="9" t="str">
        <f>VLOOKUP($H2,'Required Budget Information'!$D$2:$O$104,10,FALSE)</f>
        <v>lasersonj@gmail.com</v>
      </c>
      <c r="H49" s="8" t="s">
        <v>355</v>
      </c>
      <c r="I49" s="8" t="s">
        <v>368</v>
      </c>
      <c r="J49" s="10">
        <f>VLOOKUP($H2,'Required Budget Information'!$D$2:$O$104,12,FALSE)</f>
        <v>42988</v>
      </c>
      <c r="K49" s="8" t="s">
        <v>561</v>
      </c>
      <c r="L49" s="8">
        <v>509.66</v>
      </c>
      <c r="M49" s="11"/>
      <c r="N49" s="11"/>
      <c r="O49" s="11"/>
      <c r="P49" s="11" t="str">
        <f t="shared" si="0"/>
        <v/>
      </c>
    </row>
    <row r="50" spans="1:16" outlineLevel="1" x14ac:dyDescent="0.3">
      <c r="A50" s="4" t="s">
        <v>146</v>
      </c>
      <c r="B50" s="5" t="s">
        <v>827</v>
      </c>
      <c r="C50" s="5" t="s">
        <v>828</v>
      </c>
      <c r="D50" s="5" t="s">
        <v>829</v>
      </c>
      <c r="E50" s="5" t="s">
        <v>830</v>
      </c>
      <c r="F50" s="5" t="s">
        <v>831</v>
      </c>
      <c r="G50" s="5" t="s">
        <v>832</v>
      </c>
      <c r="H50" s="4" t="s">
        <v>141</v>
      </c>
      <c r="I50" s="4" t="s">
        <v>147</v>
      </c>
      <c r="J50" s="6">
        <v>42954</v>
      </c>
      <c r="K50" s="4" t="s">
        <v>559</v>
      </c>
      <c r="L50" s="4">
        <v>52.5</v>
      </c>
      <c r="M50" s="7"/>
      <c r="N50" s="7"/>
      <c r="O50" s="7"/>
      <c r="P50" s="7" t="str">
        <f t="shared" si="0"/>
        <v/>
      </c>
    </row>
    <row r="51" spans="1:16" outlineLevel="1" x14ac:dyDescent="0.3">
      <c r="A51" s="8" t="s">
        <v>146</v>
      </c>
      <c r="B51" s="9" t="s">
        <v>827</v>
      </c>
      <c r="C51" s="9" t="s">
        <v>828</v>
      </c>
      <c r="D51" s="9" t="s">
        <v>829</v>
      </c>
      <c r="E51" s="9" t="s">
        <v>830</v>
      </c>
      <c r="F51" s="9" t="s">
        <v>831</v>
      </c>
      <c r="G51" s="9" t="s">
        <v>832</v>
      </c>
      <c r="H51" s="8" t="s">
        <v>141</v>
      </c>
      <c r="I51" s="8" t="s">
        <v>147</v>
      </c>
      <c r="J51" s="10">
        <v>42954</v>
      </c>
      <c r="K51" s="8" t="s">
        <v>552</v>
      </c>
      <c r="L51" s="8">
        <v>55</v>
      </c>
      <c r="M51" s="11"/>
      <c r="N51" s="11"/>
      <c r="O51" s="11"/>
      <c r="P51" s="11" t="str">
        <f t="shared" si="0"/>
        <v/>
      </c>
    </row>
    <row r="52" spans="1:16" outlineLevel="1" x14ac:dyDescent="0.3">
      <c r="A52" s="4" t="s">
        <v>80</v>
      </c>
      <c r="B52" s="5" t="str">
        <f>VLOOKUP($H2,'Required Budget Information'!$D$2:$O$104,5,FALSE)</f>
        <v>Amitai Max Samuels</v>
      </c>
      <c r="C52" s="5" t="str">
        <f>VLOOKUP($H2,'Required Budget Information'!$D$2:$O$104,6,FALSE)</f>
        <v>(857) 206-3338</v>
      </c>
      <c r="D52" s="5" t="str">
        <f>VLOOKUP($H2,'Required Budget Information'!$D$2:$O$104,7,FALSE)</f>
        <v>maxsam@terpmail.umd.edu</v>
      </c>
      <c r="E52" s="5" t="str">
        <f>VLOOKUP($H2,'Required Budget Information'!$D$2:$O$104,8,FALSE)</f>
        <v>Jannah Laserson</v>
      </c>
      <c r="F52" s="5" t="str">
        <f>VLOOKUP($H2,'Required Budget Information'!$D$2:$O$104,9,FALSE)</f>
        <v>(216) 849-3384</v>
      </c>
      <c r="G52" s="5" t="str">
        <f>VLOOKUP($H2,'Required Budget Information'!$D$2:$O$104,10,FALSE)</f>
        <v>lasersonj@gmail.com</v>
      </c>
      <c r="H52" s="4" t="s">
        <v>23</v>
      </c>
      <c r="I52" s="4" t="s">
        <v>24</v>
      </c>
      <c r="J52" s="6">
        <f>VLOOKUP($H2,'Required Budget Information'!$D$2:$O$104,12,FALSE)</f>
        <v>42988</v>
      </c>
      <c r="K52" s="4" t="s">
        <v>582</v>
      </c>
      <c r="L52" s="4">
        <v>2046.88</v>
      </c>
      <c r="M52" s="7"/>
      <c r="N52" s="7"/>
      <c r="O52" s="7"/>
      <c r="P52" s="7" t="str">
        <f t="shared" si="0"/>
        <v/>
      </c>
    </row>
    <row r="53" spans="1:16" outlineLevel="1" x14ac:dyDescent="0.3">
      <c r="A53" s="8" t="s">
        <v>69</v>
      </c>
      <c r="B53" s="9" t="s">
        <v>834</v>
      </c>
      <c r="C53" s="9" t="s">
        <v>835</v>
      </c>
      <c r="D53" s="9" t="s">
        <v>836</v>
      </c>
      <c r="E53" s="9" t="s">
        <v>837</v>
      </c>
      <c r="F53" s="9" t="s">
        <v>838</v>
      </c>
      <c r="G53" s="9" t="s">
        <v>839</v>
      </c>
      <c r="H53" s="8" t="s">
        <v>60</v>
      </c>
      <c r="I53" s="8" t="s">
        <v>70</v>
      </c>
      <c r="J53" s="10">
        <v>42982</v>
      </c>
      <c r="K53" s="8" t="s">
        <v>572</v>
      </c>
      <c r="L53" s="8">
        <v>2056.25</v>
      </c>
      <c r="M53" s="11"/>
      <c r="N53" s="11"/>
      <c r="O53" s="11"/>
      <c r="P53" s="11" t="str">
        <f t="shared" si="0"/>
        <v/>
      </c>
    </row>
    <row r="54" spans="1:16" outlineLevel="1" x14ac:dyDescent="0.3">
      <c r="A54" s="4" t="s">
        <v>63</v>
      </c>
      <c r="B54" s="5" t="s">
        <v>834</v>
      </c>
      <c r="C54" s="5" t="s">
        <v>835</v>
      </c>
      <c r="D54" s="5" t="s">
        <v>842</v>
      </c>
      <c r="E54" s="5" t="s">
        <v>837</v>
      </c>
      <c r="F54" s="5" t="s">
        <v>838</v>
      </c>
      <c r="G54" s="5" t="s">
        <v>839</v>
      </c>
      <c r="H54" s="4" t="s">
        <v>60</v>
      </c>
      <c r="I54" s="4" t="s">
        <v>64</v>
      </c>
      <c r="J54" s="6">
        <v>43024</v>
      </c>
      <c r="K54" s="4" t="s">
        <v>556</v>
      </c>
      <c r="L54" s="4">
        <v>1500</v>
      </c>
      <c r="M54" s="7"/>
      <c r="N54" s="7"/>
      <c r="O54" s="7"/>
      <c r="P54" s="7" t="str">
        <f t="shared" si="0"/>
        <v/>
      </c>
    </row>
    <row r="55" spans="1:16" outlineLevel="1" x14ac:dyDescent="0.3">
      <c r="A55" s="8" t="s">
        <v>63</v>
      </c>
      <c r="B55" s="9" t="s">
        <v>834</v>
      </c>
      <c r="C55" s="9" t="s">
        <v>835</v>
      </c>
      <c r="D55" s="9" t="s">
        <v>842</v>
      </c>
      <c r="E55" s="9" t="s">
        <v>837</v>
      </c>
      <c r="F55" s="9" t="s">
        <v>838</v>
      </c>
      <c r="G55" s="9" t="s">
        <v>839</v>
      </c>
      <c r="H55" s="8" t="s">
        <v>60</v>
      </c>
      <c r="I55" s="8" t="s">
        <v>64</v>
      </c>
      <c r="J55" s="10">
        <v>43024</v>
      </c>
      <c r="K55" s="8" t="s">
        <v>550</v>
      </c>
      <c r="L55" s="8">
        <v>300</v>
      </c>
      <c r="M55" s="11"/>
      <c r="N55" s="11"/>
      <c r="O55" s="11"/>
      <c r="P55" s="11" t="str">
        <f t="shared" si="0"/>
        <v/>
      </c>
    </row>
    <row r="56" spans="1:16" outlineLevel="1" x14ac:dyDescent="0.3">
      <c r="A56" s="4" t="s">
        <v>63</v>
      </c>
      <c r="B56" s="5" t="s">
        <v>834</v>
      </c>
      <c r="C56" s="5" t="s">
        <v>835</v>
      </c>
      <c r="D56" s="5" t="s">
        <v>842</v>
      </c>
      <c r="E56" s="5" t="s">
        <v>837</v>
      </c>
      <c r="F56" s="5" t="s">
        <v>838</v>
      </c>
      <c r="G56" s="5" t="s">
        <v>839</v>
      </c>
      <c r="H56" s="4" t="s">
        <v>60</v>
      </c>
      <c r="I56" s="4" t="s">
        <v>64</v>
      </c>
      <c r="J56" s="6">
        <v>43024</v>
      </c>
      <c r="K56" s="4" t="s">
        <v>561</v>
      </c>
      <c r="L56" s="4">
        <v>119</v>
      </c>
      <c r="M56" s="7"/>
      <c r="N56" s="7"/>
      <c r="O56" s="7"/>
      <c r="P56" s="7" t="str">
        <f t="shared" si="0"/>
        <v/>
      </c>
    </row>
    <row r="57" spans="1:16" outlineLevel="1" x14ac:dyDescent="0.3">
      <c r="A57" s="8" t="s">
        <v>475</v>
      </c>
      <c r="B57" s="9" t="s">
        <v>845</v>
      </c>
      <c r="C57" s="9" t="s">
        <v>846</v>
      </c>
      <c r="D57" s="9" t="s">
        <v>847</v>
      </c>
      <c r="E57" s="9" t="s">
        <v>848</v>
      </c>
      <c r="F57" s="9" t="s">
        <v>849</v>
      </c>
      <c r="G57" s="9" t="s">
        <v>850</v>
      </c>
      <c r="H57" s="8" t="s">
        <v>452</v>
      </c>
      <c r="I57" s="8" t="s">
        <v>476</v>
      </c>
      <c r="J57" s="10">
        <v>42979</v>
      </c>
      <c r="K57" s="8" t="s">
        <v>572</v>
      </c>
      <c r="L57" s="8">
        <v>151.80000000000001</v>
      </c>
      <c r="M57" s="11"/>
      <c r="N57" s="11"/>
      <c r="O57" s="11"/>
      <c r="P57" s="11" t="str">
        <f t="shared" si="0"/>
        <v/>
      </c>
    </row>
    <row r="58" spans="1:16" outlineLevel="1" x14ac:dyDescent="0.3">
      <c r="A58" s="4" t="s">
        <v>475</v>
      </c>
      <c r="B58" s="5" t="s">
        <v>845</v>
      </c>
      <c r="C58" s="5" t="s">
        <v>846</v>
      </c>
      <c r="D58" s="5" t="s">
        <v>847</v>
      </c>
      <c r="E58" s="5" t="s">
        <v>848</v>
      </c>
      <c r="F58" s="5" t="s">
        <v>849</v>
      </c>
      <c r="G58" s="5" t="s">
        <v>850</v>
      </c>
      <c r="H58" s="4" t="s">
        <v>452</v>
      </c>
      <c r="I58" s="4" t="s">
        <v>476</v>
      </c>
      <c r="J58" s="6">
        <v>42979</v>
      </c>
      <c r="K58" s="4" t="s">
        <v>591</v>
      </c>
      <c r="L58" s="4">
        <v>600</v>
      </c>
      <c r="M58" s="7"/>
      <c r="N58" s="7"/>
      <c r="O58" s="7"/>
      <c r="P58" s="7" t="str">
        <f t="shared" si="0"/>
        <v/>
      </c>
    </row>
    <row r="59" spans="1:16" outlineLevel="1" x14ac:dyDescent="0.3">
      <c r="A59" s="8" t="s">
        <v>472</v>
      </c>
      <c r="B59" s="9" t="s">
        <v>845</v>
      </c>
      <c r="C59" s="9" t="s">
        <v>846</v>
      </c>
      <c r="D59" s="9" t="s">
        <v>847</v>
      </c>
      <c r="E59" s="9" t="s">
        <v>848</v>
      </c>
      <c r="F59" s="9" t="s">
        <v>849</v>
      </c>
      <c r="G59" s="9" t="s">
        <v>850</v>
      </c>
      <c r="H59" s="8" t="s">
        <v>452</v>
      </c>
      <c r="I59" s="8" t="s">
        <v>473</v>
      </c>
      <c r="J59" s="10">
        <v>42986</v>
      </c>
      <c r="K59" s="8" t="s">
        <v>572</v>
      </c>
      <c r="L59" s="8">
        <v>407.48</v>
      </c>
      <c r="M59" s="11"/>
      <c r="N59" s="11"/>
      <c r="O59" s="11"/>
      <c r="P59" s="11" t="str">
        <f t="shared" si="0"/>
        <v/>
      </c>
    </row>
    <row r="60" spans="1:16" outlineLevel="1" x14ac:dyDescent="0.3">
      <c r="A60" s="4" t="s">
        <v>472</v>
      </c>
      <c r="B60" s="5" t="s">
        <v>845</v>
      </c>
      <c r="C60" s="5" t="s">
        <v>846</v>
      </c>
      <c r="D60" s="5" t="s">
        <v>847</v>
      </c>
      <c r="E60" s="5" t="s">
        <v>848</v>
      </c>
      <c r="F60" s="5" t="s">
        <v>849</v>
      </c>
      <c r="G60" s="5" t="s">
        <v>850</v>
      </c>
      <c r="H60" s="4" t="s">
        <v>452</v>
      </c>
      <c r="I60" s="4" t="s">
        <v>473</v>
      </c>
      <c r="J60" s="6">
        <v>42986</v>
      </c>
      <c r="K60" s="4" t="s">
        <v>591</v>
      </c>
      <c r="L60" s="4">
        <v>600</v>
      </c>
      <c r="M60" s="7"/>
      <c r="N60" s="7"/>
      <c r="O60" s="7"/>
      <c r="P60" s="7" t="str">
        <f t="shared" si="0"/>
        <v/>
      </c>
    </row>
    <row r="61" spans="1:16" outlineLevel="1" x14ac:dyDescent="0.3">
      <c r="A61" s="8" t="s">
        <v>470</v>
      </c>
      <c r="B61" s="9" t="s">
        <v>845</v>
      </c>
      <c r="C61" s="9" t="s">
        <v>846</v>
      </c>
      <c r="D61" s="9" t="s">
        <v>847</v>
      </c>
      <c r="E61" s="9" t="s">
        <v>848</v>
      </c>
      <c r="F61" s="9" t="s">
        <v>849</v>
      </c>
      <c r="G61" s="9" t="s">
        <v>850</v>
      </c>
      <c r="H61" s="8" t="s">
        <v>452</v>
      </c>
      <c r="I61" s="8" t="s">
        <v>453</v>
      </c>
      <c r="J61" s="10">
        <v>42993</v>
      </c>
      <c r="K61" s="8" t="s">
        <v>572</v>
      </c>
      <c r="L61" s="8">
        <v>539.08000000000004</v>
      </c>
      <c r="M61" s="11"/>
      <c r="N61" s="11"/>
      <c r="O61" s="11"/>
      <c r="P61" s="11" t="str">
        <f t="shared" si="0"/>
        <v/>
      </c>
    </row>
    <row r="62" spans="1:16" outlineLevel="1" x14ac:dyDescent="0.3">
      <c r="A62" s="4" t="s">
        <v>470</v>
      </c>
      <c r="B62" s="5" t="s">
        <v>845</v>
      </c>
      <c r="C62" s="5" t="s">
        <v>846</v>
      </c>
      <c r="D62" s="5" t="s">
        <v>847</v>
      </c>
      <c r="E62" s="5" t="s">
        <v>848</v>
      </c>
      <c r="F62" s="5" t="s">
        <v>849</v>
      </c>
      <c r="G62" s="5" t="s">
        <v>850</v>
      </c>
      <c r="H62" s="4" t="s">
        <v>452</v>
      </c>
      <c r="I62" s="4" t="s">
        <v>453</v>
      </c>
      <c r="J62" s="6">
        <v>42993</v>
      </c>
      <c r="K62" s="4" t="s">
        <v>591</v>
      </c>
      <c r="L62" s="4">
        <v>600</v>
      </c>
      <c r="M62" s="7"/>
      <c r="N62" s="7"/>
      <c r="O62" s="7"/>
      <c r="P62" s="7" t="str">
        <f t="shared" si="0"/>
        <v/>
      </c>
    </row>
    <row r="63" spans="1:16" outlineLevel="1" x14ac:dyDescent="0.3">
      <c r="A63" s="8" t="s">
        <v>467</v>
      </c>
      <c r="B63" s="9" t="s">
        <v>845</v>
      </c>
      <c r="C63" s="9" t="s">
        <v>846</v>
      </c>
      <c r="D63" s="9" t="s">
        <v>847</v>
      </c>
      <c r="E63" s="9" t="s">
        <v>848</v>
      </c>
      <c r="F63" s="9" t="s">
        <v>849</v>
      </c>
      <c r="G63" s="9" t="s">
        <v>850</v>
      </c>
      <c r="H63" s="8" t="s">
        <v>452</v>
      </c>
      <c r="I63" s="8" t="s">
        <v>468</v>
      </c>
      <c r="J63" s="10">
        <v>43000</v>
      </c>
      <c r="K63" s="8" t="s">
        <v>572</v>
      </c>
      <c r="L63" s="8">
        <v>642.64</v>
      </c>
      <c r="M63" s="11"/>
      <c r="N63" s="11"/>
      <c r="O63" s="11"/>
      <c r="P63" s="11" t="str">
        <f t="shared" si="0"/>
        <v/>
      </c>
    </row>
    <row r="64" spans="1:16" outlineLevel="1" x14ac:dyDescent="0.3">
      <c r="A64" s="4" t="s">
        <v>467</v>
      </c>
      <c r="B64" s="5" t="s">
        <v>845</v>
      </c>
      <c r="C64" s="5" t="s">
        <v>846</v>
      </c>
      <c r="D64" s="5" t="s">
        <v>847</v>
      </c>
      <c r="E64" s="5" t="s">
        <v>848</v>
      </c>
      <c r="F64" s="5" t="s">
        <v>849</v>
      </c>
      <c r="G64" s="5" t="s">
        <v>850</v>
      </c>
      <c r="H64" s="4" t="s">
        <v>452</v>
      </c>
      <c r="I64" s="4" t="s">
        <v>468</v>
      </c>
      <c r="J64" s="6">
        <v>43000</v>
      </c>
      <c r="K64" s="4" t="s">
        <v>591</v>
      </c>
      <c r="L64" s="4">
        <v>1200</v>
      </c>
      <c r="M64" s="7"/>
      <c r="N64" s="7"/>
      <c r="O64" s="7"/>
      <c r="P64" s="7" t="str">
        <f t="shared" si="0"/>
        <v/>
      </c>
    </row>
    <row r="65" spans="1:16" outlineLevel="1" x14ac:dyDescent="0.3">
      <c r="A65" s="8" t="s">
        <v>464</v>
      </c>
      <c r="B65" s="9" t="s">
        <v>845</v>
      </c>
      <c r="C65" s="9" t="s">
        <v>846</v>
      </c>
      <c r="D65" s="9" t="s">
        <v>847</v>
      </c>
      <c r="E65" s="9" t="s">
        <v>848</v>
      </c>
      <c r="F65" s="9" t="s">
        <v>849</v>
      </c>
      <c r="G65" s="9" t="s">
        <v>850</v>
      </c>
      <c r="H65" s="8" t="s">
        <v>452</v>
      </c>
      <c r="I65" s="8" t="s">
        <v>465</v>
      </c>
      <c r="J65" s="10">
        <v>43015</v>
      </c>
      <c r="K65" s="8" t="s">
        <v>572</v>
      </c>
      <c r="L65" s="8">
        <v>1741.04</v>
      </c>
      <c r="M65" s="11"/>
      <c r="N65" s="11"/>
      <c r="O65" s="11"/>
      <c r="P65" s="11" t="str">
        <f t="shared" si="0"/>
        <v/>
      </c>
    </row>
    <row r="66" spans="1:16" outlineLevel="1" x14ac:dyDescent="0.3">
      <c r="A66" s="4" t="s">
        <v>464</v>
      </c>
      <c r="B66" s="5" t="s">
        <v>845</v>
      </c>
      <c r="C66" s="5" t="s">
        <v>846</v>
      </c>
      <c r="D66" s="5" t="s">
        <v>847</v>
      </c>
      <c r="E66" s="5" t="s">
        <v>848</v>
      </c>
      <c r="F66" s="5" t="s">
        <v>849</v>
      </c>
      <c r="G66" s="5" t="s">
        <v>850</v>
      </c>
      <c r="H66" s="4" t="s">
        <v>452</v>
      </c>
      <c r="I66" s="4" t="s">
        <v>465</v>
      </c>
      <c r="J66" s="6">
        <v>43015</v>
      </c>
      <c r="K66" s="4" t="s">
        <v>591</v>
      </c>
      <c r="L66" s="4">
        <v>1000</v>
      </c>
      <c r="M66" s="7"/>
      <c r="N66" s="7"/>
      <c r="O66" s="7"/>
      <c r="P66" s="7" t="str">
        <f t="shared" si="0"/>
        <v/>
      </c>
    </row>
    <row r="67" spans="1:16" outlineLevel="1" x14ac:dyDescent="0.3">
      <c r="A67" s="8" t="s">
        <v>461</v>
      </c>
      <c r="B67" s="9" t="s">
        <v>845</v>
      </c>
      <c r="C67" s="9" t="s">
        <v>846</v>
      </c>
      <c r="D67" s="9" t="s">
        <v>847</v>
      </c>
      <c r="E67" s="9" t="s">
        <v>848</v>
      </c>
      <c r="F67" s="9" t="s">
        <v>849</v>
      </c>
      <c r="G67" s="9" t="s">
        <v>850</v>
      </c>
      <c r="H67" s="8" t="s">
        <v>452</v>
      </c>
      <c r="I67" s="8" t="s">
        <v>462</v>
      </c>
      <c r="J67" s="10">
        <v>43021</v>
      </c>
      <c r="K67" s="8" t="s">
        <v>572</v>
      </c>
      <c r="L67" s="8">
        <v>326.64</v>
      </c>
      <c r="M67" s="11"/>
      <c r="N67" s="11"/>
      <c r="O67" s="11"/>
      <c r="P67" s="11" t="str">
        <f t="shared" ref="P67:P130" si="1">IF(VALUE(N67)=VALUE(L67),IF(TRIM(M67)&lt;&gt;"Fully Fund", "Check Committee Decision","Good"),IF(VALUE(N67)&gt;0,IF(TRIM(M67)&lt;&gt;"Partially Fund","Check Committee Decision", IF(O67&lt;&gt;"","Good","Reason?")),IF(TRIM(M67)&lt;&gt;"Not Fund", IF(TRIM(M67)&lt;&gt;"","Check Committee Decision", ""), IF(O67&lt;&gt;"","Good","Reason?"))))</f>
        <v/>
      </c>
    </row>
    <row r="68" spans="1:16" outlineLevel="1" x14ac:dyDescent="0.3">
      <c r="A68" s="4" t="s">
        <v>458</v>
      </c>
      <c r="B68" s="5" t="s">
        <v>845</v>
      </c>
      <c r="C68" s="5" t="s">
        <v>846</v>
      </c>
      <c r="D68" s="5" t="s">
        <v>847</v>
      </c>
      <c r="E68" s="5" t="s">
        <v>848</v>
      </c>
      <c r="F68" s="5" t="s">
        <v>849</v>
      </c>
      <c r="G68" s="5" t="s">
        <v>850</v>
      </c>
      <c r="H68" s="4" t="s">
        <v>452</v>
      </c>
      <c r="I68" s="4" t="s">
        <v>459</v>
      </c>
      <c r="J68" s="6">
        <v>43028</v>
      </c>
      <c r="K68" s="4" t="s">
        <v>591</v>
      </c>
      <c r="L68" s="4">
        <v>1300</v>
      </c>
      <c r="M68" s="7"/>
      <c r="N68" s="7"/>
      <c r="O68" s="7"/>
      <c r="P68" s="7" t="str">
        <f t="shared" si="1"/>
        <v/>
      </c>
    </row>
    <row r="69" spans="1:16" outlineLevel="1" x14ac:dyDescent="0.3">
      <c r="A69" s="8" t="s">
        <v>455</v>
      </c>
      <c r="B69" s="9" t="s">
        <v>845</v>
      </c>
      <c r="C69" s="9" t="s">
        <v>846</v>
      </c>
      <c r="D69" s="9" t="s">
        <v>847</v>
      </c>
      <c r="E69" s="9" t="s">
        <v>848</v>
      </c>
      <c r="F69" s="9" t="s">
        <v>849</v>
      </c>
      <c r="G69" s="9" t="s">
        <v>850</v>
      </c>
      <c r="H69" s="8" t="s">
        <v>452</v>
      </c>
      <c r="I69" s="8" t="s">
        <v>456</v>
      </c>
      <c r="J69" s="10">
        <v>43035</v>
      </c>
      <c r="K69" s="8" t="s">
        <v>572</v>
      </c>
      <c r="L69" s="8">
        <v>325.51</v>
      </c>
      <c r="M69" s="11"/>
      <c r="N69" s="11"/>
      <c r="O69" s="11"/>
      <c r="P69" s="11" t="str">
        <f t="shared" si="1"/>
        <v/>
      </c>
    </row>
    <row r="70" spans="1:16" outlineLevel="1" x14ac:dyDescent="0.3">
      <c r="A70" s="4" t="s">
        <v>455</v>
      </c>
      <c r="B70" s="5" t="s">
        <v>845</v>
      </c>
      <c r="C70" s="5" t="s">
        <v>846</v>
      </c>
      <c r="D70" s="5" t="s">
        <v>847</v>
      </c>
      <c r="E70" s="5" t="s">
        <v>848</v>
      </c>
      <c r="F70" s="5" t="s">
        <v>849</v>
      </c>
      <c r="G70" s="5" t="s">
        <v>850</v>
      </c>
      <c r="H70" s="4" t="s">
        <v>452</v>
      </c>
      <c r="I70" s="4" t="s">
        <v>456</v>
      </c>
      <c r="J70" s="6">
        <v>43035</v>
      </c>
      <c r="K70" s="4" t="s">
        <v>591</v>
      </c>
      <c r="L70" s="4">
        <v>600</v>
      </c>
      <c r="M70" s="7"/>
      <c r="N70" s="7"/>
      <c r="O70" s="7"/>
      <c r="P70" s="7" t="str">
        <f t="shared" si="1"/>
        <v/>
      </c>
    </row>
    <row r="71" spans="1:16" outlineLevel="1" x14ac:dyDescent="0.3">
      <c r="A71" s="8" t="s">
        <v>451</v>
      </c>
      <c r="B71" s="9" t="s">
        <v>845</v>
      </c>
      <c r="C71" s="9" t="s">
        <v>846</v>
      </c>
      <c r="D71" s="9" t="s">
        <v>847</v>
      </c>
      <c r="E71" s="9" t="s">
        <v>848</v>
      </c>
      <c r="F71" s="9" t="s">
        <v>849</v>
      </c>
      <c r="G71" s="9" t="s">
        <v>850</v>
      </c>
      <c r="H71" s="8" t="s">
        <v>452</v>
      </c>
      <c r="I71" s="8" t="s">
        <v>453</v>
      </c>
      <c r="J71" s="10">
        <v>42993</v>
      </c>
      <c r="K71" s="8" t="s">
        <v>572</v>
      </c>
      <c r="L71" s="8">
        <v>539.08000000000004</v>
      </c>
      <c r="M71" s="11"/>
      <c r="N71" s="11"/>
      <c r="O71" s="11"/>
      <c r="P71" s="11" t="str">
        <f t="shared" si="1"/>
        <v/>
      </c>
    </row>
    <row r="72" spans="1:16" outlineLevel="1" x14ac:dyDescent="0.3">
      <c r="A72" s="4" t="s">
        <v>451</v>
      </c>
      <c r="B72" s="5" t="s">
        <v>845</v>
      </c>
      <c r="C72" s="5" t="s">
        <v>846</v>
      </c>
      <c r="D72" s="5" t="s">
        <v>847</v>
      </c>
      <c r="E72" s="5" t="s">
        <v>848</v>
      </c>
      <c r="F72" s="5" t="s">
        <v>849</v>
      </c>
      <c r="G72" s="5" t="s">
        <v>850</v>
      </c>
      <c r="H72" s="4" t="s">
        <v>452</v>
      </c>
      <c r="I72" s="4" t="s">
        <v>453</v>
      </c>
      <c r="J72" s="6">
        <v>42993</v>
      </c>
      <c r="K72" s="4" t="s">
        <v>591</v>
      </c>
      <c r="L72" s="4">
        <v>600</v>
      </c>
      <c r="M72" s="7"/>
      <c r="N72" s="7"/>
      <c r="O72" s="7"/>
      <c r="P72" s="7" t="str">
        <f t="shared" si="1"/>
        <v/>
      </c>
    </row>
    <row r="73" spans="1:16" outlineLevel="1" x14ac:dyDescent="0.3">
      <c r="A73" s="8" t="s">
        <v>40</v>
      </c>
      <c r="B73" s="9" t="s">
        <v>860</v>
      </c>
      <c r="C73" s="9" t="s">
        <v>861</v>
      </c>
      <c r="D73" s="9" t="s">
        <v>862</v>
      </c>
      <c r="E73" s="9" t="s">
        <v>863</v>
      </c>
      <c r="F73" s="9" t="s">
        <v>864</v>
      </c>
      <c r="G73" s="9" t="s">
        <v>865</v>
      </c>
      <c r="H73" s="8" t="s">
        <v>41</v>
      </c>
      <c r="I73" s="8" t="s">
        <v>42</v>
      </c>
      <c r="J73" s="10">
        <v>42983</v>
      </c>
      <c r="K73" s="8" t="s">
        <v>550</v>
      </c>
      <c r="L73" s="8">
        <v>1026</v>
      </c>
      <c r="M73" s="11"/>
      <c r="N73" s="11"/>
      <c r="O73" s="11"/>
      <c r="P73" s="11" t="str">
        <f t="shared" si="1"/>
        <v/>
      </c>
    </row>
    <row r="74" spans="1:16" outlineLevel="1" x14ac:dyDescent="0.3">
      <c r="A74" s="4" t="s">
        <v>40</v>
      </c>
      <c r="B74" s="5" t="s">
        <v>860</v>
      </c>
      <c r="C74" s="5" t="s">
        <v>861</v>
      </c>
      <c r="D74" s="5" t="s">
        <v>862</v>
      </c>
      <c r="E74" s="5" t="s">
        <v>863</v>
      </c>
      <c r="F74" s="5" t="s">
        <v>864</v>
      </c>
      <c r="G74" s="5" t="s">
        <v>865</v>
      </c>
      <c r="H74" s="4" t="s">
        <v>41</v>
      </c>
      <c r="I74" s="4" t="s">
        <v>42</v>
      </c>
      <c r="J74" s="6">
        <v>42983</v>
      </c>
      <c r="K74" s="4" t="s">
        <v>580</v>
      </c>
      <c r="L74" s="4">
        <v>2592.67</v>
      </c>
      <c r="M74" s="7"/>
      <c r="N74" s="7"/>
      <c r="O74" s="7"/>
      <c r="P74" s="7" t="str">
        <f t="shared" si="1"/>
        <v/>
      </c>
    </row>
    <row r="75" spans="1:16" outlineLevel="1" x14ac:dyDescent="0.3">
      <c r="A75" s="8" t="s">
        <v>410</v>
      </c>
      <c r="B75" s="9" t="str">
        <f>VLOOKUP($H2,'Required Budget Information'!$D$2:$O$104,5,FALSE)</f>
        <v>Amitai Max Samuels</v>
      </c>
      <c r="C75" s="9" t="str">
        <f>VLOOKUP($H2,'Required Budget Information'!$D$2:$O$104,6,FALSE)</f>
        <v>(857) 206-3338</v>
      </c>
      <c r="D75" s="9" t="str">
        <f>VLOOKUP($H2,'Required Budget Information'!$D$2:$O$104,7,FALSE)</f>
        <v>maxsam@terpmail.umd.edu</v>
      </c>
      <c r="E75" s="9" t="str">
        <f>VLOOKUP($H2,'Required Budget Information'!$D$2:$O$104,8,FALSE)</f>
        <v>Jannah Laserson</v>
      </c>
      <c r="F75" s="9" t="str">
        <f>VLOOKUP($H2,'Required Budget Information'!$D$2:$O$104,9,FALSE)</f>
        <v>(216) 849-3384</v>
      </c>
      <c r="G75" s="9" t="str">
        <f>VLOOKUP($H2,'Required Budget Information'!$D$2:$O$104,10,FALSE)</f>
        <v>lasersonj@gmail.com</v>
      </c>
      <c r="H75" s="8" t="s">
        <v>41</v>
      </c>
      <c r="I75" s="8" t="s">
        <v>411</v>
      </c>
      <c r="J75" s="10">
        <f>VLOOKUP($H2,'Required Budget Information'!$D$2:$O$104,12,FALSE)</f>
        <v>42988</v>
      </c>
      <c r="K75" s="8" t="s">
        <v>556</v>
      </c>
      <c r="L75" s="8">
        <v>1344</v>
      </c>
      <c r="M75" s="11"/>
      <c r="N75" s="11"/>
      <c r="O75" s="11"/>
      <c r="P75" s="11" t="str">
        <f t="shared" si="1"/>
        <v/>
      </c>
    </row>
    <row r="76" spans="1:16" outlineLevel="1" x14ac:dyDescent="0.3">
      <c r="A76" s="4" t="s">
        <v>410</v>
      </c>
      <c r="B76" s="5" t="str">
        <f>VLOOKUP($H2,'Required Budget Information'!$D$2:$O$104,5,FALSE)</f>
        <v>Amitai Max Samuels</v>
      </c>
      <c r="C76" s="5" t="str">
        <f>VLOOKUP($H2,'Required Budget Information'!$D$2:$O$104,6,FALSE)</f>
        <v>(857) 206-3338</v>
      </c>
      <c r="D76" s="5" t="str">
        <f>VLOOKUP($H2,'Required Budget Information'!$D$2:$O$104,7,FALSE)</f>
        <v>maxsam@terpmail.umd.edu</v>
      </c>
      <c r="E76" s="5" t="str">
        <f>VLOOKUP($H2,'Required Budget Information'!$D$2:$O$104,8,FALSE)</f>
        <v>Jannah Laserson</v>
      </c>
      <c r="F76" s="5" t="str">
        <f>VLOOKUP($H2,'Required Budget Information'!$D$2:$O$104,9,FALSE)</f>
        <v>(216) 849-3384</v>
      </c>
      <c r="G76" s="5" t="str">
        <f>VLOOKUP($H2,'Required Budget Information'!$D$2:$O$104,10,FALSE)</f>
        <v>lasersonj@gmail.com</v>
      </c>
      <c r="H76" s="4" t="s">
        <v>41</v>
      </c>
      <c r="I76" s="4" t="s">
        <v>411</v>
      </c>
      <c r="J76" s="6">
        <f>VLOOKUP($H2,'Required Budget Information'!$D$2:$O$104,12,FALSE)</f>
        <v>42988</v>
      </c>
      <c r="K76" s="4" t="s">
        <v>570</v>
      </c>
      <c r="L76" s="4">
        <v>300</v>
      </c>
      <c r="M76" s="7"/>
      <c r="N76" s="7"/>
      <c r="O76" s="7"/>
      <c r="P76" s="7" t="str">
        <f t="shared" si="1"/>
        <v/>
      </c>
    </row>
    <row r="77" spans="1:16" outlineLevel="1" x14ac:dyDescent="0.3">
      <c r="A77" s="8" t="s">
        <v>444</v>
      </c>
      <c r="B77" s="9" t="s">
        <v>867</v>
      </c>
      <c r="C77" s="9" t="s">
        <v>868</v>
      </c>
      <c r="D77" s="9" t="s">
        <v>869</v>
      </c>
      <c r="E77" s="9" t="s">
        <v>870</v>
      </c>
      <c r="F77" s="9" t="s">
        <v>871</v>
      </c>
      <c r="G77" s="9" t="s">
        <v>872</v>
      </c>
      <c r="H77" s="8" t="s">
        <v>445</v>
      </c>
      <c r="I77" s="8" t="s">
        <v>446</v>
      </c>
      <c r="J77" s="10">
        <v>43076</v>
      </c>
      <c r="K77" s="8" t="s">
        <v>550</v>
      </c>
      <c r="L77" s="8">
        <v>6066.25</v>
      </c>
      <c r="M77" s="11"/>
      <c r="N77" s="11"/>
      <c r="O77" s="11"/>
      <c r="P77" s="11" t="str">
        <f t="shared" si="1"/>
        <v/>
      </c>
    </row>
    <row r="78" spans="1:16" outlineLevel="1" x14ac:dyDescent="0.3">
      <c r="A78" s="4" t="s">
        <v>441</v>
      </c>
      <c r="B78" s="5" t="s">
        <v>874</v>
      </c>
      <c r="C78" s="5" t="s">
        <v>875</v>
      </c>
      <c r="D78" s="5" t="s">
        <v>876</v>
      </c>
      <c r="E78" s="5" t="s">
        <v>877</v>
      </c>
      <c r="F78" s="5" t="s">
        <v>878</v>
      </c>
      <c r="G78" s="5" t="s">
        <v>879</v>
      </c>
      <c r="H78" s="4" t="s">
        <v>432</v>
      </c>
      <c r="I78" s="4" t="s">
        <v>442</v>
      </c>
      <c r="J78" s="6">
        <v>42975</v>
      </c>
      <c r="K78" s="4" t="s">
        <v>550</v>
      </c>
      <c r="L78" s="4">
        <v>2250</v>
      </c>
      <c r="M78" s="7"/>
      <c r="N78" s="7"/>
      <c r="O78" s="7"/>
      <c r="P78" s="7" t="str">
        <f t="shared" si="1"/>
        <v/>
      </c>
    </row>
    <row r="79" spans="1:16" outlineLevel="1" x14ac:dyDescent="0.3">
      <c r="A79" s="8" t="s">
        <v>351</v>
      </c>
      <c r="B79" s="9" t="str">
        <f>VLOOKUP($H2,'Required Budget Information'!$D$2:$O$104,5,FALSE)</f>
        <v>Amitai Max Samuels</v>
      </c>
      <c r="C79" s="9" t="str">
        <f>VLOOKUP($H2,'Required Budget Information'!$D$2:$O$104,6,FALSE)</f>
        <v>(857) 206-3338</v>
      </c>
      <c r="D79" s="9" t="str">
        <f>VLOOKUP($H2,'Required Budget Information'!$D$2:$O$104,7,FALSE)</f>
        <v>maxsam@terpmail.umd.edu</v>
      </c>
      <c r="E79" s="9" t="str">
        <f>VLOOKUP($H2,'Required Budget Information'!$D$2:$O$104,8,FALSE)</f>
        <v>Jannah Laserson</v>
      </c>
      <c r="F79" s="9" t="str">
        <f>VLOOKUP($H2,'Required Budget Information'!$D$2:$O$104,9,FALSE)</f>
        <v>(216) 849-3384</v>
      </c>
      <c r="G79" s="9" t="str">
        <f>VLOOKUP($H2,'Required Budget Information'!$D$2:$O$104,10,FALSE)</f>
        <v>lasersonj@gmail.com</v>
      </c>
      <c r="H79" s="8" t="s">
        <v>77</v>
      </c>
      <c r="I79" s="8" t="s">
        <v>352</v>
      </c>
      <c r="J79" s="10">
        <f>VLOOKUP($H2,'Required Budget Information'!$D$2:$O$104,12,FALSE)</f>
        <v>42988</v>
      </c>
      <c r="K79" s="8" t="s">
        <v>550</v>
      </c>
      <c r="L79" s="8">
        <v>270</v>
      </c>
      <c r="M79" s="11"/>
      <c r="N79" s="11"/>
      <c r="O79" s="11"/>
      <c r="P79" s="11" t="str">
        <f t="shared" si="1"/>
        <v/>
      </c>
    </row>
    <row r="80" spans="1:16" outlineLevel="1" x14ac:dyDescent="0.3">
      <c r="A80" s="4" t="s">
        <v>110</v>
      </c>
      <c r="B80" s="5" t="str">
        <f>VLOOKUP($H2,'Required Budget Information'!$D$2:$O$104,5,FALSE)</f>
        <v>Amitai Max Samuels</v>
      </c>
      <c r="C80" s="5" t="str">
        <f>VLOOKUP($H2,'Required Budget Information'!$D$2:$O$104,6,FALSE)</f>
        <v>(857) 206-3338</v>
      </c>
      <c r="D80" s="5" t="str">
        <f>VLOOKUP($H2,'Required Budget Information'!$D$2:$O$104,7,FALSE)</f>
        <v>maxsam@terpmail.umd.edu</v>
      </c>
      <c r="E80" s="5" t="str">
        <f>VLOOKUP($H2,'Required Budget Information'!$D$2:$O$104,8,FALSE)</f>
        <v>Jannah Laserson</v>
      </c>
      <c r="F80" s="5" t="str">
        <f>VLOOKUP($H2,'Required Budget Information'!$D$2:$O$104,9,FALSE)</f>
        <v>(216) 849-3384</v>
      </c>
      <c r="G80" s="5" t="str">
        <f>VLOOKUP($H2,'Required Budget Information'!$D$2:$O$104,10,FALSE)</f>
        <v>lasersonj@gmail.com</v>
      </c>
      <c r="H80" s="4" t="s">
        <v>111</v>
      </c>
      <c r="I80" s="4" t="s">
        <v>112</v>
      </c>
      <c r="J80" s="6">
        <f>VLOOKUP($H2,'Required Budget Information'!$D$2:$O$104,12,FALSE)</f>
        <v>42988</v>
      </c>
      <c r="K80" s="4" t="s">
        <v>561</v>
      </c>
      <c r="L80" s="4">
        <v>576</v>
      </c>
      <c r="M80" s="7"/>
      <c r="N80" s="7"/>
      <c r="O80" s="7"/>
      <c r="P80" s="7" t="str">
        <f t="shared" si="1"/>
        <v/>
      </c>
    </row>
    <row r="81" spans="1:16" outlineLevel="1" x14ac:dyDescent="0.3">
      <c r="A81" s="8" t="s">
        <v>110</v>
      </c>
      <c r="B81" s="9" t="str">
        <f>VLOOKUP($H2,'Required Budget Information'!$D$2:$O$104,5,FALSE)</f>
        <v>Amitai Max Samuels</v>
      </c>
      <c r="C81" s="9" t="str">
        <f>VLOOKUP($H2,'Required Budget Information'!$D$2:$O$104,6,FALSE)</f>
        <v>(857) 206-3338</v>
      </c>
      <c r="D81" s="9" t="str">
        <f>VLOOKUP($H2,'Required Budget Information'!$D$2:$O$104,7,FALSE)</f>
        <v>maxsam@terpmail.umd.edu</v>
      </c>
      <c r="E81" s="9" t="str">
        <f>VLOOKUP($H2,'Required Budget Information'!$D$2:$O$104,8,FALSE)</f>
        <v>Jannah Laserson</v>
      </c>
      <c r="F81" s="9" t="str">
        <f>VLOOKUP($H2,'Required Budget Information'!$D$2:$O$104,9,FALSE)</f>
        <v>(216) 849-3384</v>
      </c>
      <c r="G81" s="9" t="str">
        <f>VLOOKUP($H2,'Required Budget Information'!$D$2:$O$104,10,FALSE)</f>
        <v>lasersonj@gmail.com</v>
      </c>
      <c r="H81" s="8" t="s">
        <v>111</v>
      </c>
      <c r="I81" s="8" t="s">
        <v>112</v>
      </c>
      <c r="J81" s="10">
        <f>VLOOKUP($H2,'Required Budget Information'!$D$2:$O$104,12,FALSE)</f>
        <v>42988</v>
      </c>
      <c r="K81" s="8" t="s">
        <v>561</v>
      </c>
      <c r="L81" s="8">
        <v>116.66</v>
      </c>
      <c r="M81" s="11"/>
      <c r="N81" s="11"/>
      <c r="O81" s="11"/>
      <c r="P81" s="11" t="str">
        <f t="shared" si="1"/>
        <v/>
      </c>
    </row>
    <row r="82" spans="1:16" outlineLevel="1" x14ac:dyDescent="0.3">
      <c r="A82" s="4" t="s">
        <v>110</v>
      </c>
      <c r="B82" s="5" t="str">
        <f>VLOOKUP($H2,'Required Budget Information'!$D$2:$O$104,5,FALSE)</f>
        <v>Amitai Max Samuels</v>
      </c>
      <c r="C82" s="5" t="str">
        <f>VLOOKUP($H2,'Required Budget Information'!$D$2:$O$104,6,FALSE)</f>
        <v>(857) 206-3338</v>
      </c>
      <c r="D82" s="5" t="str">
        <f>VLOOKUP($H2,'Required Budget Information'!$D$2:$O$104,7,FALSE)</f>
        <v>maxsam@terpmail.umd.edu</v>
      </c>
      <c r="E82" s="5" t="str">
        <f>VLOOKUP($H2,'Required Budget Information'!$D$2:$O$104,8,FALSE)</f>
        <v>Jannah Laserson</v>
      </c>
      <c r="F82" s="5" t="str">
        <f>VLOOKUP($H2,'Required Budget Information'!$D$2:$O$104,9,FALSE)</f>
        <v>(216) 849-3384</v>
      </c>
      <c r="G82" s="5" t="str">
        <f>VLOOKUP($H2,'Required Budget Information'!$D$2:$O$104,10,FALSE)</f>
        <v>lasersonj@gmail.com</v>
      </c>
      <c r="H82" s="4" t="s">
        <v>111</v>
      </c>
      <c r="I82" s="4" t="s">
        <v>112</v>
      </c>
      <c r="J82" s="6">
        <f>VLOOKUP($H2,'Required Budget Information'!$D$2:$O$104,12,FALSE)</f>
        <v>42988</v>
      </c>
      <c r="K82" s="4" t="s">
        <v>561</v>
      </c>
      <c r="L82" s="4">
        <v>499</v>
      </c>
      <c r="M82" s="7"/>
      <c r="N82" s="7"/>
      <c r="O82" s="7"/>
      <c r="P82" s="7" t="str">
        <f t="shared" si="1"/>
        <v/>
      </c>
    </row>
    <row r="83" spans="1:16" outlineLevel="1" x14ac:dyDescent="0.3">
      <c r="A83" s="8" t="s">
        <v>110</v>
      </c>
      <c r="B83" s="9" t="str">
        <f>VLOOKUP($H2,'Required Budget Information'!$D$2:$O$104,5,FALSE)</f>
        <v>Amitai Max Samuels</v>
      </c>
      <c r="C83" s="9" t="str">
        <f>VLOOKUP($H2,'Required Budget Information'!$D$2:$O$104,6,FALSE)</f>
        <v>(857) 206-3338</v>
      </c>
      <c r="D83" s="9" t="str">
        <f>VLOOKUP($H2,'Required Budget Information'!$D$2:$O$104,7,FALSE)</f>
        <v>maxsam@terpmail.umd.edu</v>
      </c>
      <c r="E83" s="9" t="str">
        <f>VLOOKUP($H2,'Required Budget Information'!$D$2:$O$104,8,FALSE)</f>
        <v>Jannah Laserson</v>
      </c>
      <c r="F83" s="9" t="str">
        <f>VLOOKUP($H2,'Required Budget Information'!$D$2:$O$104,9,FALSE)</f>
        <v>(216) 849-3384</v>
      </c>
      <c r="G83" s="9" t="str">
        <f>VLOOKUP($H2,'Required Budget Information'!$D$2:$O$104,10,FALSE)</f>
        <v>lasersonj@gmail.com</v>
      </c>
      <c r="H83" s="8" t="s">
        <v>111</v>
      </c>
      <c r="I83" s="8" t="s">
        <v>112</v>
      </c>
      <c r="J83" s="10">
        <f>VLOOKUP($H2,'Required Budget Information'!$D$2:$O$104,12,FALSE)</f>
        <v>42988</v>
      </c>
      <c r="K83" s="8" t="s">
        <v>561</v>
      </c>
      <c r="L83" s="8">
        <v>233.31</v>
      </c>
      <c r="M83" s="11"/>
      <c r="N83" s="11"/>
      <c r="O83" s="11"/>
      <c r="P83" s="11" t="str">
        <f t="shared" si="1"/>
        <v/>
      </c>
    </row>
    <row r="84" spans="1:16" outlineLevel="1" x14ac:dyDescent="0.3">
      <c r="A84" s="4" t="s">
        <v>110</v>
      </c>
      <c r="B84" s="5" t="str">
        <f>VLOOKUP($H2,'Required Budget Information'!$D$2:$O$104,5,FALSE)</f>
        <v>Amitai Max Samuels</v>
      </c>
      <c r="C84" s="5" t="str">
        <f>VLOOKUP($H2,'Required Budget Information'!$D$2:$O$104,6,FALSE)</f>
        <v>(857) 206-3338</v>
      </c>
      <c r="D84" s="5" t="str">
        <f>VLOOKUP($H2,'Required Budget Information'!$D$2:$O$104,7,FALSE)</f>
        <v>maxsam@terpmail.umd.edu</v>
      </c>
      <c r="E84" s="5" t="str">
        <f>VLOOKUP($H2,'Required Budget Information'!$D$2:$O$104,8,FALSE)</f>
        <v>Jannah Laserson</v>
      </c>
      <c r="F84" s="5" t="str">
        <f>VLOOKUP($H2,'Required Budget Information'!$D$2:$O$104,9,FALSE)</f>
        <v>(216) 849-3384</v>
      </c>
      <c r="G84" s="5" t="str">
        <f>VLOOKUP($H2,'Required Budget Information'!$D$2:$O$104,10,FALSE)</f>
        <v>lasersonj@gmail.com</v>
      </c>
      <c r="H84" s="4" t="s">
        <v>111</v>
      </c>
      <c r="I84" s="4" t="s">
        <v>112</v>
      </c>
      <c r="J84" s="6">
        <f>VLOOKUP($H2,'Required Budget Information'!$D$2:$O$104,12,FALSE)</f>
        <v>42988</v>
      </c>
      <c r="K84" s="4" t="s">
        <v>561</v>
      </c>
      <c r="L84" s="4">
        <v>43</v>
      </c>
      <c r="M84" s="7"/>
      <c r="N84" s="7"/>
      <c r="O84" s="7"/>
      <c r="P84" s="7" t="str">
        <f t="shared" si="1"/>
        <v/>
      </c>
    </row>
    <row r="85" spans="1:16" outlineLevel="1" x14ac:dyDescent="0.3">
      <c r="A85" s="8" t="s">
        <v>110</v>
      </c>
      <c r="B85" s="9" t="str">
        <f>VLOOKUP($H2,'Required Budget Information'!$D$2:$O$104,5,FALSE)</f>
        <v>Amitai Max Samuels</v>
      </c>
      <c r="C85" s="9" t="str">
        <f>VLOOKUP($H2,'Required Budget Information'!$D$2:$O$104,6,FALSE)</f>
        <v>(857) 206-3338</v>
      </c>
      <c r="D85" s="9" t="str">
        <f>VLOOKUP($H2,'Required Budget Information'!$D$2:$O$104,7,FALSE)</f>
        <v>maxsam@terpmail.umd.edu</v>
      </c>
      <c r="E85" s="9" t="str">
        <f>VLOOKUP($H2,'Required Budget Information'!$D$2:$O$104,8,FALSE)</f>
        <v>Jannah Laserson</v>
      </c>
      <c r="F85" s="9" t="str">
        <f>VLOOKUP($H2,'Required Budget Information'!$D$2:$O$104,9,FALSE)</f>
        <v>(216) 849-3384</v>
      </c>
      <c r="G85" s="9" t="str">
        <f>VLOOKUP($H2,'Required Budget Information'!$D$2:$O$104,10,FALSE)</f>
        <v>lasersonj@gmail.com</v>
      </c>
      <c r="H85" s="8" t="s">
        <v>111</v>
      </c>
      <c r="I85" s="8" t="s">
        <v>112</v>
      </c>
      <c r="J85" s="10">
        <f>VLOOKUP($H2,'Required Budget Information'!$D$2:$O$104,12,FALSE)</f>
        <v>42988</v>
      </c>
      <c r="K85" s="8" t="s">
        <v>561</v>
      </c>
      <c r="L85" s="8">
        <v>14</v>
      </c>
      <c r="M85" s="11"/>
      <c r="N85" s="11"/>
      <c r="O85" s="11"/>
      <c r="P85" s="11" t="str">
        <f t="shared" si="1"/>
        <v/>
      </c>
    </row>
    <row r="86" spans="1:16" outlineLevel="1" x14ac:dyDescent="0.3">
      <c r="A86" s="4" t="s">
        <v>438</v>
      </c>
      <c r="B86" s="5" t="s">
        <v>874</v>
      </c>
      <c r="C86" s="5" t="s">
        <v>875</v>
      </c>
      <c r="D86" s="5" t="s">
        <v>876</v>
      </c>
      <c r="E86" s="5" t="s">
        <v>877</v>
      </c>
      <c r="F86" s="5" t="s">
        <v>878</v>
      </c>
      <c r="G86" s="5" t="s">
        <v>879</v>
      </c>
      <c r="H86" s="4" t="s">
        <v>432</v>
      </c>
      <c r="I86" s="4" t="s">
        <v>439</v>
      </c>
      <c r="J86" s="6">
        <v>42981</v>
      </c>
      <c r="K86" s="4" t="s">
        <v>550</v>
      </c>
      <c r="L86" s="4">
        <v>2145</v>
      </c>
      <c r="M86" s="7"/>
      <c r="N86" s="7"/>
      <c r="O86" s="7"/>
      <c r="P86" s="7" t="str">
        <f t="shared" si="1"/>
        <v/>
      </c>
    </row>
    <row r="87" spans="1:16" outlineLevel="1" x14ac:dyDescent="0.3">
      <c r="A87" s="8" t="s">
        <v>438</v>
      </c>
      <c r="B87" s="9" t="s">
        <v>874</v>
      </c>
      <c r="C87" s="9" t="s">
        <v>875</v>
      </c>
      <c r="D87" s="9" t="s">
        <v>876</v>
      </c>
      <c r="E87" s="9" t="s">
        <v>877</v>
      </c>
      <c r="F87" s="9" t="s">
        <v>878</v>
      </c>
      <c r="G87" s="9" t="s">
        <v>879</v>
      </c>
      <c r="H87" s="8" t="s">
        <v>432</v>
      </c>
      <c r="I87" s="8" t="s">
        <v>439</v>
      </c>
      <c r="J87" s="10">
        <v>42981</v>
      </c>
      <c r="K87" s="8" t="s">
        <v>554</v>
      </c>
      <c r="L87" s="8">
        <v>500</v>
      </c>
      <c r="M87" s="11"/>
      <c r="N87" s="11"/>
      <c r="O87" s="11"/>
      <c r="P87" s="11" t="str">
        <f t="shared" si="1"/>
        <v/>
      </c>
    </row>
    <row r="88" spans="1:16" outlineLevel="1" x14ac:dyDescent="0.3">
      <c r="A88" s="4" t="s">
        <v>438</v>
      </c>
      <c r="B88" s="5" t="s">
        <v>874</v>
      </c>
      <c r="C88" s="5" t="s">
        <v>875</v>
      </c>
      <c r="D88" s="5" t="s">
        <v>876</v>
      </c>
      <c r="E88" s="5" t="s">
        <v>877</v>
      </c>
      <c r="F88" s="5" t="s">
        <v>878</v>
      </c>
      <c r="G88" s="5" t="s">
        <v>879</v>
      </c>
      <c r="H88" s="4" t="s">
        <v>432</v>
      </c>
      <c r="I88" s="4" t="s">
        <v>439</v>
      </c>
      <c r="J88" s="6">
        <v>42981</v>
      </c>
      <c r="K88" s="4" t="s">
        <v>556</v>
      </c>
      <c r="L88" s="4">
        <v>264.5</v>
      </c>
      <c r="M88" s="7"/>
      <c r="N88" s="7"/>
      <c r="O88" s="7"/>
      <c r="P88" s="7" t="str">
        <f t="shared" si="1"/>
        <v/>
      </c>
    </row>
    <row r="89" spans="1:16" outlineLevel="1" x14ac:dyDescent="0.3">
      <c r="A89" s="8" t="s">
        <v>222</v>
      </c>
      <c r="B89" s="9" t="str">
        <f>VLOOKUP($H2,'Required Budget Information'!$D$2:$O$104,5,FALSE)</f>
        <v>Amitai Max Samuels</v>
      </c>
      <c r="C89" s="9" t="str">
        <f>VLOOKUP($H2,'Required Budget Information'!$D$2:$O$104,6,FALSE)</f>
        <v>(857) 206-3338</v>
      </c>
      <c r="D89" s="9" t="str">
        <f>VLOOKUP($H2,'Required Budget Information'!$D$2:$O$104,7,FALSE)</f>
        <v>maxsam@terpmail.umd.edu</v>
      </c>
      <c r="E89" s="9" t="str">
        <f>VLOOKUP($H2,'Required Budget Information'!$D$2:$O$104,8,FALSE)</f>
        <v>Jannah Laserson</v>
      </c>
      <c r="F89" s="9" t="str">
        <f>VLOOKUP($H2,'Required Budget Information'!$D$2:$O$104,9,FALSE)</f>
        <v>(216) 849-3384</v>
      </c>
      <c r="G89" s="9" t="str">
        <f>VLOOKUP($H2,'Required Budget Information'!$D$2:$O$104,10,FALSE)</f>
        <v>lasersonj@gmail.com</v>
      </c>
      <c r="H89" s="8" t="s">
        <v>223</v>
      </c>
      <c r="I89" s="8" t="s">
        <v>224</v>
      </c>
      <c r="J89" s="10">
        <f>VLOOKUP($H2,'Required Budget Information'!$D$2:$O$104,12,FALSE)</f>
        <v>42988</v>
      </c>
      <c r="K89" s="8" t="s">
        <v>561</v>
      </c>
      <c r="L89" s="8">
        <v>352.78</v>
      </c>
      <c r="M89" s="11"/>
      <c r="N89" s="11"/>
      <c r="O89" s="11"/>
      <c r="P89" s="11" t="str">
        <f t="shared" si="1"/>
        <v/>
      </c>
    </row>
    <row r="90" spans="1:16" outlineLevel="1" x14ac:dyDescent="0.3">
      <c r="A90" s="4" t="s">
        <v>222</v>
      </c>
      <c r="B90" s="5" t="str">
        <f>VLOOKUP($H2,'Required Budget Information'!$D$2:$O$104,5,FALSE)</f>
        <v>Amitai Max Samuels</v>
      </c>
      <c r="C90" s="5" t="str">
        <f>VLOOKUP($H2,'Required Budget Information'!$D$2:$O$104,6,FALSE)</f>
        <v>(857) 206-3338</v>
      </c>
      <c r="D90" s="5" t="str">
        <f>VLOOKUP($H2,'Required Budget Information'!$D$2:$O$104,7,FALSE)</f>
        <v>maxsam@terpmail.umd.edu</v>
      </c>
      <c r="E90" s="5" t="str">
        <f>VLOOKUP($H2,'Required Budget Information'!$D$2:$O$104,8,FALSE)</f>
        <v>Jannah Laserson</v>
      </c>
      <c r="F90" s="5" t="str">
        <f>VLOOKUP($H2,'Required Budget Information'!$D$2:$O$104,9,FALSE)</f>
        <v>(216) 849-3384</v>
      </c>
      <c r="G90" s="5" t="str">
        <f>VLOOKUP($H2,'Required Budget Information'!$D$2:$O$104,10,FALSE)</f>
        <v>lasersonj@gmail.com</v>
      </c>
      <c r="H90" s="4" t="s">
        <v>223</v>
      </c>
      <c r="I90" s="4" t="s">
        <v>224</v>
      </c>
      <c r="J90" s="6">
        <f>VLOOKUP($H2,'Required Budget Information'!$D$2:$O$104,12,FALSE)</f>
        <v>42988</v>
      </c>
      <c r="K90" s="4" t="s">
        <v>561</v>
      </c>
      <c r="L90" s="4">
        <v>539.9</v>
      </c>
      <c r="M90" s="7"/>
      <c r="N90" s="7"/>
      <c r="O90" s="7"/>
      <c r="P90" s="7" t="str">
        <f t="shared" si="1"/>
        <v/>
      </c>
    </row>
    <row r="91" spans="1:16" outlineLevel="1" x14ac:dyDescent="0.3">
      <c r="A91" s="8" t="s">
        <v>435</v>
      </c>
      <c r="B91" s="9" t="s">
        <v>883</v>
      </c>
      <c r="C91" s="9" t="s">
        <v>884</v>
      </c>
      <c r="D91" s="9" t="s">
        <v>885</v>
      </c>
      <c r="E91" s="9" t="s">
        <v>886</v>
      </c>
      <c r="F91" s="9" t="s">
        <v>887</v>
      </c>
      <c r="G91" s="9" t="s">
        <v>888</v>
      </c>
      <c r="H91" s="8" t="s">
        <v>301</v>
      </c>
      <c r="I91" s="8" t="s">
        <v>436</v>
      </c>
      <c r="J91" s="10">
        <v>42985</v>
      </c>
      <c r="K91" s="8" t="s">
        <v>572</v>
      </c>
      <c r="L91" s="8">
        <v>1789.2</v>
      </c>
      <c r="M91" s="11"/>
      <c r="N91" s="11"/>
      <c r="O91" s="11"/>
      <c r="P91" s="11" t="str">
        <f t="shared" si="1"/>
        <v/>
      </c>
    </row>
    <row r="92" spans="1:16" outlineLevel="1" x14ac:dyDescent="0.3">
      <c r="A92" s="4" t="s">
        <v>126</v>
      </c>
      <c r="B92" s="5" t="s">
        <v>890</v>
      </c>
      <c r="C92" s="5" t="s">
        <v>891</v>
      </c>
      <c r="D92" s="5" t="s">
        <v>892</v>
      </c>
      <c r="E92" s="5" t="s">
        <v>893</v>
      </c>
      <c r="F92" s="5" t="s">
        <v>894</v>
      </c>
      <c r="G92" s="5" t="s">
        <v>895</v>
      </c>
      <c r="H92" s="4" t="s">
        <v>77</v>
      </c>
      <c r="I92" s="4" t="s">
        <v>127</v>
      </c>
      <c r="J92" s="6">
        <v>42950</v>
      </c>
      <c r="K92" s="4" t="s">
        <v>608</v>
      </c>
      <c r="L92" s="4">
        <v>1500</v>
      </c>
      <c r="M92" s="7"/>
      <c r="N92" s="7"/>
      <c r="O92" s="7"/>
      <c r="P92" s="7" t="str">
        <f t="shared" si="1"/>
        <v/>
      </c>
    </row>
    <row r="93" spans="1:16" outlineLevel="1" x14ac:dyDescent="0.3">
      <c r="A93" s="8" t="s">
        <v>226</v>
      </c>
      <c r="B93" s="9" t="str">
        <f>VLOOKUP($H2,'Required Budget Information'!$D$2:$O$104,5,FALSE)</f>
        <v>Amitai Max Samuels</v>
      </c>
      <c r="C93" s="9" t="str">
        <f>VLOOKUP($H2,'Required Budget Information'!$D$2:$O$104,6,FALSE)</f>
        <v>(857) 206-3338</v>
      </c>
      <c r="D93" s="9" t="str">
        <f>VLOOKUP($H2,'Required Budget Information'!$D$2:$O$104,7,FALSE)</f>
        <v>maxsam@terpmail.umd.edu</v>
      </c>
      <c r="E93" s="9" t="str">
        <f>VLOOKUP($H2,'Required Budget Information'!$D$2:$O$104,8,FALSE)</f>
        <v>Jannah Laserson</v>
      </c>
      <c r="F93" s="9" t="str">
        <f>VLOOKUP($H2,'Required Budget Information'!$D$2:$O$104,9,FALSE)</f>
        <v>(216) 849-3384</v>
      </c>
      <c r="G93" s="9" t="str">
        <f>VLOOKUP($H2,'Required Budget Information'!$D$2:$O$104,10,FALSE)</f>
        <v>lasersonj@gmail.com</v>
      </c>
      <c r="H93" s="8" t="s">
        <v>227</v>
      </c>
      <c r="I93" s="8" t="s">
        <v>228</v>
      </c>
      <c r="J93" s="10">
        <f>VLOOKUP($H2,'Required Budget Information'!$D$2:$O$104,12,FALSE)</f>
        <v>42988</v>
      </c>
      <c r="K93" s="8" t="s">
        <v>552</v>
      </c>
      <c r="L93" s="8">
        <v>149</v>
      </c>
      <c r="M93" s="11"/>
      <c r="N93" s="11"/>
      <c r="O93" s="11"/>
      <c r="P93" s="11" t="str">
        <f t="shared" si="1"/>
        <v/>
      </c>
    </row>
    <row r="94" spans="1:16" outlineLevel="1" x14ac:dyDescent="0.3">
      <c r="A94" s="4" t="s">
        <v>226</v>
      </c>
      <c r="B94" s="5" t="str">
        <f>VLOOKUP($H2,'Required Budget Information'!$D$2:$O$104,5,FALSE)</f>
        <v>Amitai Max Samuels</v>
      </c>
      <c r="C94" s="5" t="str">
        <f>VLOOKUP($H2,'Required Budget Information'!$D$2:$O$104,6,FALSE)</f>
        <v>(857) 206-3338</v>
      </c>
      <c r="D94" s="5" t="str">
        <f>VLOOKUP($H2,'Required Budget Information'!$D$2:$O$104,7,FALSE)</f>
        <v>maxsam@terpmail.umd.edu</v>
      </c>
      <c r="E94" s="5" t="str">
        <f>VLOOKUP($H2,'Required Budget Information'!$D$2:$O$104,8,FALSE)</f>
        <v>Jannah Laserson</v>
      </c>
      <c r="F94" s="5" t="str">
        <f>VLOOKUP($H2,'Required Budget Information'!$D$2:$O$104,9,FALSE)</f>
        <v>(216) 849-3384</v>
      </c>
      <c r="G94" s="5" t="str">
        <f>VLOOKUP($H2,'Required Budget Information'!$D$2:$O$104,10,FALSE)</f>
        <v>lasersonj@gmail.com</v>
      </c>
      <c r="H94" s="4" t="s">
        <v>227</v>
      </c>
      <c r="I94" s="4" t="s">
        <v>228</v>
      </c>
      <c r="J94" s="6">
        <f>VLOOKUP($H2,'Required Budget Information'!$D$2:$O$104,12,FALSE)</f>
        <v>42988</v>
      </c>
      <c r="K94" s="4" t="s">
        <v>550</v>
      </c>
      <c r="L94" s="4">
        <v>1200</v>
      </c>
      <c r="M94" s="7"/>
      <c r="N94" s="7"/>
      <c r="O94" s="7"/>
      <c r="P94" s="7" t="str">
        <f t="shared" si="1"/>
        <v/>
      </c>
    </row>
    <row r="95" spans="1:16" outlineLevel="1" x14ac:dyDescent="0.3">
      <c r="A95" s="8" t="s">
        <v>226</v>
      </c>
      <c r="B95" s="9" t="str">
        <f>VLOOKUP($H2,'Required Budget Information'!$D$2:$O$104,5,FALSE)</f>
        <v>Amitai Max Samuels</v>
      </c>
      <c r="C95" s="9" t="str">
        <f>VLOOKUP($H2,'Required Budget Information'!$D$2:$O$104,6,FALSE)</f>
        <v>(857) 206-3338</v>
      </c>
      <c r="D95" s="9" t="str">
        <f>VLOOKUP($H2,'Required Budget Information'!$D$2:$O$104,7,FALSE)</f>
        <v>maxsam@terpmail.umd.edu</v>
      </c>
      <c r="E95" s="9" t="str">
        <f>VLOOKUP($H2,'Required Budget Information'!$D$2:$O$104,8,FALSE)</f>
        <v>Jannah Laserson</v>
      </c>
      <c r="F95" s="9" t="str">
        <f>VLOOKUP($H2,'Required Budget Information'!$D$2:$O$104,9,FALSE)</f>
        <v>(216) 849-3384</v>
      </c>
      <c r="G95" s="9" t="str">
        <f>VLOOKUP($H2,'Required Budget Information'!$D$2:$O$104,10,FALSE)</f>
        <v>lasersonj@gmail.com</v>
      </c>
      <c r="H95" s="8" t="s">
        <v>227</v>
      </c>
      <c r="I95" s="8" t="s">
        <v>228</v>
      </c>
      <c r="J95" s="10">
        <f>VLOOKUP($H2,'Required Budget Information'!$D$2:$O$104,12,FALSE)</f>
        <v>42988</v>
      </c>
      <c r="K95" s="8" t="s">
        <v>554</v>
      </c>
      <c r="L95" s="8">
        <v>150</v>
      </c>
      <c r="M95" s="11"/>
      <c r="N95" s="11"/>
      <c r="O95" s="11"/>
      <c r="P95" s="11" t="str">
        <f t="shared" si="1"/>
        <v/>
      </c>
    </row>
    <row r="96" spans="1:16" outlineLevel="1" x14ac:dyDescent="0.3">
      <c r="A96" s="4" t="s">
        <v>431</v>
      </c>
      <c r="B96" s="5" t="s">
        <v>874</v>
      </c>
      <c r="C96" s="5" t="s">
        <v>875</v>
      </c>
      <c r="D96" s="5" t="s">
        <v>876</v>
      </c>
      <c r="E96" s="5" t="s">
        <v>877</v>
      </c>
      <c r="F96" s="5" t="s">
        <v>878</v>
      </c>
      <c r="G96" s="5" t="s">
        <v>879</v>
      </c>
      <c r="H96" s="4" t="s">
        <v>432</v>
      </c>
      <c r="I96" s="4" t="s">
        <v>433</v>
      </c>
      <c r="J96" s="6">
        <v>43071</v>
      </c>
      <c r="K96" s="4" t="s">
        <v>550</v>
      </c>
      <c r="L96" s="4">
        <v>1800</v>
      </c>
      <c r="M96" s="7"/>
      <c r="N96" s="7"/>
      <c r="O96" s="7"/>
      <c r="P96" s="7" t="str">
        <f t="shared" si="1"/>
        <v/>
      </c>
    </row>
    <row r="97" spans="1:16" outlineLevel="1" x14ac:dyDescent="0.3">
      <c r="A97" s="8" t="s">
        <v>431</v>
      </c>
      <c r="B97" s="9" t="s">
        <v>874</v>
      </c>
      <c r="C97" s="9" t="s">
        <v>875</v>
      </c>
      <c r="D97" s="9" t="s">
        <v>876</v>
      </c>
      <c r="E97" s="9" t="s">
        <v>877</v>
      </c>
      <c r="F97" s="9" t="s">
        <v>878</v>
      </c>
      <c r="G97" s="9" t="s">
        <v>879</v>
      </c>
      <c r="H97" s="8" t="s">
        <v>432</v>
      </c>
      <c r="I97" s="8" t="s">
        <v>433</v>
      </c>
      <c r="J97" s="10">
        <v>43071</v>
      </c>
      <c r="K97" s="8" t="s">
        <v>556</v>
      </c>
      <c r="L97" s="8">
        <v>1700</v>
      </c>
      <c r="M97" s="11"/>
      <c r="N97" s="11"/>
      <c r="O97" s="11"/>
      <c r="P97" s="11" t="str">
        <f t="shared" si="1"/>
        <v/>
      </c>
    </row>
    <row r="98" spans="1:16" outlineLevel="1" x14ac:dyDescent="0.3">
      <c r="A98" s="4" t="s">
        <v>431</v>
      </c>
      <c r="B98" s="5" t="s">
        <v>874</v>
      </c>
      <c r="C98" s="5" t="s">
        <v>875</v>
      </c>
      <c r="D98" s="5" t="s">
        <v>876</v>
      </c>
      <c r="E98" s="5" t="s">
        <v>877</v>
      </c>
      <c r="F98" s="5" t="s">
        <v>878</v>
      </c>
      <c r="G98" s="5" t="s">
        <v>879</v>
      </c>
      <c r="H98" s="4" t="s">
        <v>432</v>
      </c>
      <c r="I98" s="4" t="s">
        <v>433</v>
      </c>
      <c r="J98" s="6">
        <v>43071</v>
      </c>
      <c r="K98" s="4" t="s">
        <v>554</v>
      </c>
      <c r="L98" s="4">
        <v>1407</v>
      </c>
      <c r="M98" s="7"/>
      <c r="N98" s="7"/>
      <c r="O98" s="7"/>
      <c r="P98" s="7" t="str">
        <f t="shared" si="1"/>
        <v/>
      </c>
    </row>
    <row r="99" spans="1:16" outlineLevel="1" x14ac:dyDescent="0.3">
      <c r="A99" s="8" t="s">
        <v>431</v>
      </c>
      <c r="B99" s="9" t="s">
        <v>874</v>
      </c>
      <c r="C99" s="9" t="s">
        <v>875</v>
      </c>
      <c r="D99" s="9" t="s">
        <v>876</v>
      </c>
      <c r="E99" s="9" t="s">
        <v>877</v>
      </c>
      <c r="F99" s="9" t="s">
        <v>878</v>
      </c>
      <c r="G99" s="9" t="s">
        <v>879</v>
      </c>
      <c r="H99" s="8" t="s">
        <v>432</v>
      </c>
      <c r="I99" s="8" t="s">
        <v>433</v>
      </c>
      <c r="J99" s="10">
        <v>43071</v>
      </c>
      <c r="K99" s="8" t="s">
        <v>559</v>
      </c>
      <c r="L99" s="8">
        <v>800</v>
      </c>
      <c r="M99" s="11"/>
      <c r="N99" s="11"/>
      <c r="O99" s="11"/>
      <c r="P99" s="11" t="str">
        <f t="shared" si="1"/>
        <v/>
      </c>
    </row>
    <row r="100" spans="1:16" outlineLevel="1" x14ac:dyDescent="0.3">
      <c r="A100" s="4" t="s">
        <v>119</v>
      </c>
      <c r="B100" s="5" t="s">
        <v>890</v>
      </c>
      <c r="C100" s="5" t="s">
        <v>891</v>
      </c>
      <c r="D100" s="5" t="s">
        <v>892</v>
      </c>
      <c r="E100" s="5" t="s">
        <v>893</v>
      </c>
      <c r="F100" s="5" t="s">
        <v>898</v>
      </c>
      <c r="G100" s="5" t="s">
        <v>895</v>
      </c>
      <c r="H100" s="4" t="s">
        <v>77</v>
      </c>
      <c r="I100" s="4" t="s">
        <v>120</v>
      </c>
      <c r="J100" s="6">
        <v>43014</v>
      </c>
      <c r="K100" s="4" t="s">
        <v>608</v>
      </c>
      <c r="L100" s="4">
        <v>8000</v>
      </c>
      <c r="M100" s="7"/>
      <c r="N100" s="7"/>
      <c r="O100" s="7"/>
      <c r="P100" s="7" t="str">
        <f t="shared" si="1"/>
        <v/>
      </c>
    </row>
    <row r="101" spans="1:16" outlineLevel="1" x14ac:dyDescent="0.3">
      <c r="A101" s="8" t="s">
        <v>153</v>
      </c>
      <c r="B101" s="9" t="str">
        <f>VLOOKUP($H2,'Required Budget Information'!$D$2:$O$104,5,FALSE)</f>
        <v>Amitai Max Samuels</v>
      </c>
      <c r="C101" s="9" t="str">
        <f>VLOOKUP($H2,'Required Budget Information'!$D$2:$O$104,6,FALSE)</f>
        <v>(857) 206-3338</v>
      </c>
      <c r="D101" s="9" t="str">
        <f>VLOOKUP($H2,'Required Budget Information'!$D$2:$O$104,7,FALSE)</f>
        <v>maxsam@terpmail.umd.edu</v>
      </c>
      <c r="E101" s="9" t="str">
        <f>VLOOKUP($H2,'Required Budget Information'!$D$2:$O$104,8,FALSE)</f>
        <v>Jannah Laserson</v>
      </c>
      <c r="F101" s="9" t="str">
        <f>VLOOKUP($H2,'Required Budget Information'!$D$2:$O$104,9,FALSE)</f>
        <v>(216) 849-3384</v>
      </c>
      <c r="G101" s="9" t="str">
        <f>VLOOKUP($H2,'Required Budget Information'!$D$2:$O$104,10,FALSE)</f>
        <v>lasersonj@gmail.com</v>
      </c>
      <c r="H101" s="8" t="s">
        <v>150</v>
      </c>
      <c r="I101" s="8" t="s">
        <v>154</v>
      </c>
      <c r="J101" s="10">
        <f>VLOOKUP($H2,'Required Budget Information'!$D$2:$O$104,12,FALSE)</f>
        <v>42988</v>
      </c>
      <c r="K101" s="8" t="s">
        <v>618</v>
      </c>
      <c r="L101" s="8">
        <v>144</v>
      </c>
      <c r="M101" s="11"/>
      <c r="N101" s="11"/>
      <c r="O101" s="11"/>
      <c r="P101" s="11" t="str">
        <f t="shared" si="1"/>
        <v/>
      </c>
    </row>
    <row r="102" spans="1:16" outlineLevel="1" x14ac:dyDescent="0.3">
      <c r="A102" s="4" t="s">
        <v>428</v>
      </c>
      <c r="B102" s="5" t="str">
        <f>VLOOKUP($H2,'Required Budget Information'!$D$2:$O$104,5,FALSE)</f>
        <v>Amitai Max Samuels</v>
      </c>
      <c r="C102" s="5" t="str">
        <f>VLOOKUP($H2,'Required Budget Information'!$D$2:$O$104,6,FALSE)</f>
        <v>(857) 206-3338</v>
      </c>
      <c r="D102" s="5" t="str">
        <f>VLOOKUP($H2,'Required Budget Information'!$D$2:$O$104,7,FALSE)</f>
        <v>maxsam@terpmail.umd.edu</v>
      </c>
      <c r="E102" s="5" t="str">
        <f>VLOOKUP($H2,'Required Budget Information'!$D$2:$O$104,8,FALSE)</f>
        <v>Jannah Laserson</v>
      </c>
      <c r="F102" s="5" t="str">
        <f>VLOOKUP($H2,'Required Budget Information'!$D$2:$O$104,9,FALSE)</f>
        <v>(216) 849-3384</v>
      </c>
      <c r="G102" s="5" t="str">
        <f>VLOOKUP($H2,'Required Budget Information'!$D$2:$O$104,10,FALSE)</f>
        <v>lasersonj@gmail.com</v>
      </c>
      <c r="H102" s="4" t="s">
        <v>320</v>
      </c>
      <c r="I102" s="4" t="s">
        <v>429</v>
      </c>
      <c r="J102" s="6">
        <f>VLOOKUP($H2,'Required Budget Information'!$D$2:$O$104,12,FALSE)</f>
        <v>42988</v>
      </c>
      <c r="K102" s="4" t="s">
        <v>591</v>
      </c>
      <c r="L102" s="4">
        <v>3750</v>
      </c>
      <c r="M102" s="7"/>
      <c r="N102" s="7"/>
      <c r="O102" s="7"/>
      <c r="P102" s="7" t="str">
        <f t="shared" si="1"/>
        <v/>
      </c>
    </row>
    <row r="103" spans="1:16" outlineLevel="1" x14ac:dyDescent="0.3">
      <c r="A103" s="8" t="s">
        <v>76</v>
      </c>
      <c r="B103" s="9" t="s">
        <v>890</v>
      </c>
      <c r="C103" s="9" t="s">
        <v>891</v>
      </c>
      <c r="D103" s="9" t="s">
        <v>892</v>
      </c>
      <c r="E103" s="9" t="s">
        <v>893</v>
      </c>
      <c r="F103" s="9" t="s">
        <v>898</v>
      </c>
      <c r="G103" s="9" t="s">
        <v>895</v>
      </c>
      <c r="H103" s="8" t="s">
        <v>77</v>
      </c>
      <c r="I103" s="8" t="s">
        <v>78</v>
      </c>
      <c r="J103" s="10">
        <v>42961</v>
      </c>
      <c r="K103" s="8" t="s">
        <v>570</v>
      </c>
      <c r="L103" s="8">
        <v>1595</v>
      </c>
      <c r="M103" s="11"/>
      <c r="N103" s="11"/>
      <c r="O103" s="11"/>
      <c r="P103" s="11" t="str">
        <f t="shared" si="1"/>
        <v/>
      </c>
    </row>
    <row r="104" spans="1:16" outlineLevel="1" x14ac:dyDescent="0.3">
      <c r="A104" s="4" t="s">
        <v>76</v>
      </c>
      <c r="B104" s="5" t="s">
        <v>890</v>
      </c>
      <c r="C104" s="5" t="s">
        <v>891</v>
      </c>
      <c r="D104" s="5" t="s">
        <v>892</v>
      </c>
      <c r="E104" s="5" t="s">
        <v>893</v>
      </c>
      <c r="F104" s="5" t="s">
        <v>898</v>
      </c>
      <c r="G104" s="5" t="s">
        <v>895</v>
      </c>
      <c r="H104" s="4" t="s">
        <v>77</v>
      </c>
      <c r="I104" s="4" t="s">
        <v>78</v>
      </c>
      <c r="J104" s="6">
        <v>42961</v>
      </c>
      <c r="K104" s="4" t="s">
        <v>559</v>
      </c>
      <c r="L104" s="4">
        <v>92.95</v>
      </c>
      <c r="M104" s="7"/>
      <c r="N104" s="7"/>
      <c r="O104" s="7"/>
      <c r="P104" s="7" t="str">
        <f t="shared" si="1"/>
        <v/>
      </c>
    </row>
    <row r="105" spans="1:16" outlineLevel="1" x14ac:dyDescent="0.3">
      <c r="A105" s="8" t="s">
        <v>76</v>
      </c>
      <c r="B105" s="9" t="s">
        <v>890</v>
      </c>
      <c r="C105" s="9" t="s">
        <v>891</v>
      </c>
      <c r="D105" s="9" t="s">
        <v>892</v>
      </c>
      <c r="E105" s="9" t="s">
        <v>893</v>
      </c>
      <c r="F105" s="9" t="s">
        <v>898</v>
      </c>
      <c r="G105" s="9" t="s">
        <v>895</v>
      </c>
      <c r="H105" s="8" t="s">
        <v>77</v>
      </c>
      <c r="I105" s="8" t="s">
        <v>78</v>
      </c>
      <c r="J105" s="10">
        <v>42961</v>
      </c>
      <c r="K105" s="8" t="s">
        <v>561</v>
      </c>
      <c r="L105" s="8">
        <v>222</v>
      </c>
      <c r="M105" s="11"/>
      <c r="N105" s="11"/>
      <c r="O105" s="11"/>
      <c r="P105" s="11" t="str">
        <f t="shared" si="1"/>
        <v/>
      </c>
    </row>
    <row r="106" spans="1:16" outlineLevel="1" x14ac:dyDescent="0.3">
      <c r="A106" s="4" t="s">
        <v>424</v>
      </c>
      <c r="B106" s="5" t="s">
        <v>902</v>
      </c>
      <c r="C106" s="5" t="s">
        <v>903</v>
      </c>
      <c r="D106" s="5" t="s">
        <v>904</v>
      </c>
      <c r="E106" s="5" t="s">
        <v>905</v>
      </c>
      <c r="F106" s="5" t="s">
        <v>906</v>
      </c>
      <c r="G106" s="5" t="s">
        <v>907</v>
      </c>
      <c r="H106" s="4" t="s">
        <v>425</v>
      </c>
      <c r="I106" s="4" t="s">
        <v>426</v>
      </c>
      <c r="J106" s="6">
        <v>43003</v>
      </c>
      <c r="K106" s="4" t="s">
        <v>572</v>
      </c>
      <c r="L106" s="4">
        <v>696.1</v>
      </c>
      <c r="M106" s="7"/>
      <c r="N106" s="7"/>
      <c r="O106" s="7"/>
      <c r="P106" s="7" t="str">
        <f t="shared" si="1"/>
        <v/>
      </c>
    </row>
    <row r="107" spans="1:16" outlineLevel="1" x14ac:dyDescent="0.3">
      <c r="A107" s="8" t="s">
        <v>420</v>
      </c>
      <c r="B107" s="9" t="s">
        <v>910</v>
      </c>
      <c r="C107" s="9" t="s">
        <v>911</v>
      </c>
      <c r="D107" s="9" t="s">
        <v>912</v>
      </c>
      <c r="E107" s="9" t="s">
        <v>913</v>
      </c>
      <c r="F107" s="9" t="s">
        <v>914</v>
      </c>
      <c r="G107" s="9" t="s">
        <v>915</v>
      </c>
      <c r="H107" s="8" t="s">
        <v>421</v>
      </c>
      <c r="I107" s="8" t="s">
        <v>422</v>
      </c>
      <c r="J107" s="10">
        <v>42975</v>
      </c>
      <c r="K107" s="8" t="s">
        <v>550</v>
      </c>
      <c r="L107" s="8">
        <v>840</v>
      </c>
      <c r="M107" s="11"/>
      <c r="N107" s="11"/>
      <c r="O107" s="11"/>
      <c r="P107" s="11" t="str">
        <f t="shared" si="1"/>
        <v/>
      </c>
    </row>
    <row r="108" spans="1:16" outlineLevel="1" x14ac:dyDescent="0.3">
      <c r="A108" s="4" t="s">
        <v>416</v>
      </c>
      <c r="B108" s="5" t="s">
        <v>918</v>
      </c>
      <c r="C108" s="5" t="s">
        <v>919</v>
      </c>
      <c r="D108" s="5" t="s">
        <v>920</v>
      </c>
      <c r="E108" s="5" t="s">
        <v>921</v>
      </c>
      <c r="F108" s="5" t="s">
        <v>922</v>
      </c>
      <c r="G108" s="5" t="s">
        <v>923</v>
      </c>
      <c r="H108" s="4" t="s">
        <v>417</v>
      </c>
      <c r="I108" s="4" t="s">
        <v>418</v>
      </c>
      <c r="J108" s="6">
        <v>42990</v>
      </c>
      <c r="K108" s="4" t="s">
        <v>550</v>
      </c>
      <c r="L108" s="4">
        <v>390</v>
      </c>
      <c r="M108" s="7"/>
      <c r="N108" s="7"/>
      <c r="O108" s="7"/>
      <c r="P108" s="7" t="str">
        <f t="shared" si="1"/>
        <v/>
      </c>
    </row>
    <row r="109" spans="1:16" outlineLevel="1" x14ac:dyDescent="0.3">
      <c r="A109" s="8" t="s">
        <v>413</v>
      </c>
      <c r="B109" s="9" t="s">
        <v>925</v>
      </c>
      <c r="C109" s="9" t="s">
        <v>926</v>
      </c>
      <c r="D109" s="9" t="s">
        <v>927</v>
      </c>
      <c r="E109" s="9" t="s">
        <v>928</v>
      </c>
      <c r="F109" s="9" t="s">
        <v>929</v>
      </c>
      <c r="G109" s="9" t="s">
        <v>930</v>
      </c>
      <c r="H109" s="8" t="s">
        <v>389</v>
      </c>
      <c r="I109" s="8" t="s">
        <v>414</v>
      </c>
      <c r="J109" s="10">
        <v>42996</v>
      </c>
      <c r="K109" s="8" t="s">
        <v>556</v>
      </c>
      <c r="L109" s="8">
        <v>1980</v>
      </c>
      <c r="M109" s="11"/>
      <c r="N109" s="11"/>
      <c r="O109" s="11"/>
      <c r="P109" s="11" t="str">
        <f t="shared" si="1"/>
        <v/>
      </c>
    </row>
    <row r="110" spans="1:16" outlineLevel="1" x14ac:dyDescent="0.3">
      <c r="A110" s="4" t="s">
        <v>413</v>
      </c>
      <c r="B110" s="5" t="s">
        <v>925</v>
      </c>
      <c r="C110" s="5" t="s">
        <v>926</v>
      </c>
      <c r="D110" s="5" t="s">
        <v>927</v>
      </c>
      <c r="E110" s="5" t="s">
        <v>928</v>
      </c>
      <c r="F110" s="5" t="s">
        <v>929</v>
      </c>
      <c r="G110" s="5" t="s">
        <v>930</v>
      </c>
      <c r="H110" s="4" t="s">
        <v>389</v>
      </c>
      <c r="I110" s="4" t="s">
        <v>414</v>
      </c>
      <c r="J110" s="6">
        <v>42996</v>
      </c>
      <c r="K110" s="4" t="s">
        <v>550</v>
      </c>
      <c r="L110" s="4">
        <v>693</v>
      </c>
      <c r="M110" s="7"/>
      <c r="N110" s="7"/>
      <c r="O110" s="7"/>
      <c r="P110" s="7" t="str">
        <f t="shared" si="1"/>
        <v/>
      </c>
    </row>
    <row r="111" spans="1:16" outlineLevel="1" x14ac:dyDescent="0.3">
      <c r="A111" s="8" t="s">
        <v>404</v>
      </c>
      <c r="B111" s="9" t="s">
        <v>925</v>
      </c>
      <c r="C111" s="9" t="s">
        <v>926</v>
      </c>
      <c r="D111" s="9" t="s">
        <v>927</v>
      </c>
      <c r="E111" s="9" t="s">
        <v>928</v>
      </c>
      <c r="F111" s="9" t="s">
        <v>929</v>
      </c>
      <c r="G111" s="9" t="s">
        <v>930</v>
      </c>
      <c r="H111" s="8" t="s">
        <v>389</v>
      </c>
      <c r="I111" s="8" t="s">
        <v>405</v>
      </c>
      <c r="J111" s="10">
        <v>42998</v>
      </c>
      <c r="K111" s="8" t="s">
        <v>550</v>
      </c>
      <c r="L111" s="8">
        <v>630</v>
      </c>
      <c r="M111" s="11"/>
      <c r="N111" s="11"/>
      <c r="O111" s="11"/>
      <c r="P111" s="11" t="str">
        <f t="shared" si="1"/>
        <v/>
      </c>
    </row>
    <row r="112" spans="1:16" outlineLevel="1" x14ac:dyDescent="0.3">
      <c r="A112" s="4" t="s">
        <v>401</v>
      </c>
      <c r="B112" s="5" t="s">
        <v>527</v>
      </c>
      <c r="C112" s="5" t="s">
        <v>788</v>
      </c>
      <c r="D112" s="5" t="s">
        <v>789</v>
      </c>
      <c r="E112" s="5" t="s">
        <v>790</v>
      </c>
      <c r="F112" s="5" t="s">
        <v>791</v>
      </c>
      <c r="G112" s="5" t="s">
        <v>792</v>
      </c>
      <c r="H112" s="4" t="s">
        <v>385</v>
      </c>
      <c r="I112" s="4" t="s">
        <v>402</v>
      </c>
      <c r="J112" s="6">
        <v>42867</v>
      </c>
      <c r="K112" s="4" t="s">
        <v>561</v>
      </c>
      <c r="L112" s="4">
        <v>119.66999999999999</v>
      </c>
      <c r="M112" s="7"/>
      <c r="N112" s="7"/>
      <c r="O112" s="7"/>
      <c r="P112" s="7" t="str">
        <f t="shared" si="1"/>
        <v/>
      </c>
    </row>
    <row r="113" spans="1:16" outlineLevel="1" x14ac:dyDescent="0.3">
      <c r="A113" s="8" t="s">
        <v>398</v>
      </c>
      <c r="B113" s="9" t="s">
        <v>527</v>
      </c>
      <c r="C113" s="9" t="s">
        <v>788</v>
      </c>
      <c r="D113" s="9" t="s">
        <v>789</v>
      </c>
      <c r="E113" s="9" t="s">
        <v>790</v>
      </c>
      <c r="F113" s="9" t="s">
        <v>791</v>
      </c>
      <c r="G113" s="9" t="s">
        <v>792</v>
      </c>
      <c r="H113" s="8" t="s">
        <v>385</v>
      </c>
      <c r="I113" s="8" t="s">
        <v>399</v>
      </c>
      <c r="J113" s="10">
        <v>42868</v>
      </c>
      <c r="K113" s="8" t="s">
        <v>561</v>
      </c>
      <c r="L113" s="8">
        <v>112.36000000000001</v>
      </c>
      <c r="M113" s="11"/>
      <c r="N113" s="11"/>
      <c r="O113" s="11"/>
      <c r="P113" s="11" t="str">
        <f t="shared" si="1"/>
        <v/>
      </c>
    </row>
    <row r="114" spans="1:16" outlineLevel="1" x14ac:dyDescent="0.3">
      <c r="A114" s="4" t="s">
        <v>395</v>
      </c>
      <c r="B114" s="5" t="s">
        <v>883</v>
      </c>
      <c r="C114" s="5" t="s">
        <v>884</v>
      </c>
      <c r="D114" s="5" t="s">
        <v>885</v>
      </c>
      <c r="E114" s="5" t="s">
        <v>886</v>
      </c>
      <c r="F114" s="5" t="s">
        <v>887</v>
      </c>
      <c r="G114" s="5" t="s">
        <v>888</v>
      </c>
      <c r="H114" s="4" t="s">
        <v>301</v>
      </c>
      <c r="I114" s="4" t="s">
        <v>396</v>
      </c>
      <c r="J114" s="6">
        <v>42984</v>
      </c>
      <c r="K114" s="4" t="s">
        <v>572</v>
      </c>
      <c r="L114" s="4">
        <v>1789.2</v>
      </c>
      <c r="M114" s="7"/>
      <c r="N114" s="7"/>
      <c r="O114" s="7"/>
      <c r="P114" s="7" t="str">
        <f t="shared" si="1"/>
        <v/>
      </c>
    </row>
    <row r="115" spans="1:16" outlineLevel="1" x14ac:dyDescent="0.3">
      <c r="A115" s="8" t="s">
        <v>392</v>
      </c>
      <c r="B115" s="9" t="s">
        <v>527</v>
      </c>
      <c r="C115" s="9" t="s">
        <v>788</v>
      </c>
      <c r="D115" s="9" t="s">
        <v>789</v>
      </c>
      <c r="E115" s="9" t="s">
        <v>790</v>
      </c>
      <c r="F115" s="9" t="s">
        <v>791</v>
      </c>
      <c r="G115" s="9" t="s">
        <v>792</v>
      </c>
      <c r="H115" s="8" t="s">
        <v>385</v>
      </c>
      <c r="I115" s="8" t="s">
        <v>393</v>
      </c>
      <c r="J115" s="10">
        <v>42868</v>
      </c>
      <c r="K115" s="8" t="s">
        <v>561</v>
      </c>
      <c r="L115" s="8">
        <v>98.97</v>
      </c>
      <c r="M115" s="11"/>
      <c r="N115" s="11"/>
      <c r="O115" s="11"/>
      <c r="P115" s="11" t="str">
        <f t="shared" si="1"/>
        <v/>
      </c>
    </row>
    <row r="116" spans="1:16" outlineLevel="1" x14ac:dyDescent="0.3">
      <c r="A116" s="4" t="s">
        <v>388</v>
      </c>
      <c r="B116" s="5" t="s">
        <v>925</v>
      </c>
      <c r="C116" s="5" t="s">
        <v>926</v>
      </c>
      <c r="D116" s="5" t="s">
        <v>927</v>
      </c>
      <c r="E116" s="5" t="s">
        <v>928</v>
      </c>
      <c r="F116" s="5" t="s">
        <v>929</v>
      </c>
      <c r="G116" s="5" t="s">
        <v>930</v>
      </c>
      <c r="H116" s="4" t="s">
        <v>389</v>
      </c>
      <c r="I116" s="4" t="s">
        <v>390</v>
      </c>
      <c r="J116" s="6">
        <v>42980</v>
      </c>
      <c r="K116" s="4" t="s">
        <v>566</v>
      </c>
      <c r="L116" s="4">
        <v>3000</v>
      </c>
      <c r="M116" s="7"/>
      <c r="N116" s="7"/>
      <c r="O116" s="7"/>
      <c r="P116" s="7" t="str">
        <f t="shared" si="1"/>
        <v/>
      </c>
    </row>
    <row r="117" spans="1:16" outlineLevel="1" x14ac:dyDescent="0.3">
      <c r="A117" s="8" t="s">
        <v>384</v>
      </c>
      <c r="B117" s="9" t="s">
        <v>527</v>
      </c>
      <c r="C117" s="9" t="s">
        <v>788</v>
      </c>
      <c r="D117" s="9" t="s">
        <v>789</v>
      </c>
      <c r="E117" s="9" t="s">
        <v>790</v>
      </c>
      <c r="F117" s="9" t="s">
        <v>791</v>
      </c>
      <c r="G117" s="9" t="s">
        <v>792</v>
      </c>
      <c r="H117" s="8" t="s">
        <v>385</v>
      </c>
      <c r="I117" s="8" t="s">
        <v>386</v>
      </c>
      <c r="J117" s="10">
        <v>43010</v>
      </c>
      <c r="K117" s="8" t="s">
        <v>561</v>
      </c>
      <c r="L117" s="8">
        <v>224.75</v>
      </c>
      <c r="M117" s="11"/>
      <c r="N117" s="11"/>
      <c r="O117" s="11"/>
      <c r="P117" s="11" t="str">
        <f t="shared" si="1"/>
        <v/>
      </c>
    </row>
    <row r="118" spans="1:16" outlineLevel="1" x14ac:dyDescent="0.3">
      <c r="A118" s="4" t="s">
        <v>258</v>
      </c>
      <c r="B118" s="5" t="str">
        <f>VLOOKUP($H2,'Required Budget Information'!$D$2:$O$104,5,FALSE)</f>
        <v>Amitai Max Samuels</v>
      </c>
      <c r="C118" s="5" t="str">
        <f>VLOOKUP($H2,'Required Budget Information'!$D$2:$O$104,6,FALSE)</f>
        <v>(857) 206-3338</v>
      </c>
      <c r="D118" s="5" t="str">
        <f>VLOOKUP($H2,'Required Budget Information'!$D$2:$O$104,7,FALSE)</f>
        <v>maxsam@terpmail.umd.edu</v>
      </c>
      <c r="E118" s="5" t="str">
        <f>VLOOKUP($H2,'Required Budget Information'!$D$2:$O$104,8,FALSE)</f>
        <v>Jannah Laserson</v>
      </c>
      <c r="F118" s="5" t="str">
        <f>VLOOKUP($H2,'Required Budget Information'!$D$2:$O$104,9,FALSE)</f>
        <v>(216) 849-3384</v>
      </c>
      <c r="G118" s="5" t="str">
        <f>VLOOKUP($H2,'Required Budget Information'!$D$2:$O$104,10,FALSE)</f>
        <v>lasersonj@gmail.com</v>
      </c>
      <c r="H118" s="4" t="s">
        <v>251</v>
      </c>
      <c r="I118" s="4" t="s">
        <v>259</v>
      </c>
      <c r="J118" s="6">
        <f>VLOOKUP($H2,'Required Budget Information'!$D$2:$O$104,12,FALSE)</f>
        <v>42988</v>
      </c>
      <c r="K118" s="4" t="s">
        <v>98</v>
      </c>
      <c r="L118" s="4">
        <v>420.4</v>
      </c>
      <c r="M118" s="7"/>
      <c r="N118" s="7"/>
      <c r="O118" s="7"/>
      <c r="P118" s="7" t="str">
        <f t="shared" si="1"/>
        <v/>
      </c>
    </row>
    <row r="119" spans="1:16" outlineLevel="1" x14ac:dyDescent="0.3">
      <c r="A119" s="8" t="s">
        <v>258</v>
      </c>
      <c r="B119" s="9" t="str">
        <f>VLOOKUP($H2,'Required Budget Information'!$D$2:$O$104,5,FALSE)</f>
        <v>Amitai Max Samuels</v>
      </c>
      <c r="C119" s="9" t="str">
        <f>VLOOKUP($H2,'Required Budget Information'!$D$2:$O$104,6,FALSE)</f>
        <v>(857) 206-3338</v>
      </c>
      <c r="D119" s="9" t="str">
        <f>VLOOKUP($H2,'Required Budget Information'!$D$2:$O$104,7,FALSE)</f>
        <v>maxsam@terpmail.umd.edu</v>
      </c>
      <c r="E119" s="9" t="str">
        <f>VLOOKUP($H2,'Required Budget Information'!$D$2:$O$104,8,FALSE)</f>
        <v>Jannah Laserson</v>
      </c>
      <c r="F119" s="9" t="str">
        <f>VLOOKUP($H2,'Required Budget Information'!$D$2:$O$104,9,FALSE)</f>
        <v>(216) 849-3384</v>
      </c>
      <c r="G119" s="9" t="str">
        <f>VLOOKUP($H2,'Required Budget Information'!$D$2:$O$104,10,FALSE)</f>
        <v>lasersonj@gmail.com</v>
      </c>
      <c r="H119" s="8" t="s">
        <v>251</v>
      </c>
      <c r="I119" s="8" t="s">
        <v>259</v>
      </c>
      <c r="J119" s="10">
        <f>VLOOKUP($H2,'Required Budget Information'!$D$2:$O$104,12,FALSE)</f>
        <v>42988</v>
      </c>
      <c r="K119" s="8" t="s">
        <v>572</v>
      </c>
      <c r="L119" s="8">
        <v>420.4</v>
      </c>
      <c r="M119" s="11"/>
      <c r="N119" s="11"/>
      <c r="O119" s="11"/>
      <c r="P119" s="11" t="str">
        <f t="shared" si="1"/>
        <v/>
      </c>
    </row>
    <row r="120" spans="1:16" outlineLevel="1" x14ac:dyDescent="0.3">
      <c r="A120" s="4" t="s">
        <v>370</v>
      </c>
      <c r="B120" s="5" t="s">
        <v>883</v>
      </c>
      <c r="C120" s="5" t="s">
        <v>884</v>
      </c>
      <c r="D120" s="5" t="s">
        <v>885</v>
      </c>
      <c r="E120" s="5" t="s">
        <v>886</v>
      </c>
      <c r="F120" s="5" t="s">
        <v>887</v>
      </c>
      <c r="G120" s="5" t="s">
        <v>888</v>
      </c>
      <c r="H120" s="4" t="s">
        <v>301</v>
      </c>
      <c r="I120" s="4" t="s">
        <v>371</v>
      </c>
      <c r="J120" s="6">
        <v>42972</v>
      </c>
      <c r="K120" s="4" t="s">
        <v>572</v>
      </c>
      <c r="L120" s="4">
        <v>500.4</v>
      </c>
      <c r="M120" s="7"/>
      <c r="N120" s="7"/>
      <c r="O120" s="7"/>
      <c r="P120" s="7" t="str">
        <f t="shared" si="1"/>
        <v/>
      </c>
    </row>
    <row r="121" spans="1:16" outlineLevel="1" x14ac:dyDescent="0.3">
      <c r="A121" s="8" t="s">
        <v>250</v>
      </c>
      <c r="B121" s="9" t="s">
        <v>945</v>
      </c>
      <c r="C121" s="9" t="s">
        <v>946</v>
      </c>
      <c r="D121" s="9" t="s">
        <v>947</v>
      </c>
      <c r="E121" s="9" t="s">
        <v>948</v>
      </c>
      <c r="F121" s="9" t="s">
        <v>949</v>
      </c>
      <c r="G121" s="9" t="s">
        <v>950</v>
      </c>
      <c r="H121" s="8" t="s">
        <v>251</v>
      </c>
      <c r="I121" s="8" t="s">
        <v>252</v>
      </c>
      <c r="J121" s="10">
        <v>43022</v>
      </c>
      <c r="K121" s="8" t="s">
        <v>98</v>
      </c>
      <c r="L121" s="8">
        <v>1705</v>
      </c>
      <c r="M121" s="11"/>
      <c r="N121" s="11"/>
      <c r="O121" s="11"/>
      <c r="P121" s="11" t="str">
        <f t="shared" si="1"/>
        <v/>
      </c>
    </row>
    <row r="122" spans="1:16" outlineLevel="1" x14ac:dyDescent="0.3">
      <c r="A122" s="4" t="s">
        <v>250</v>
      </c>
      <c r="B122" s="5" t="s">
        <v>945</v>
      </c>
      <c r="C122" s="5" t="s">
        <v>946</v>
      </c>
      <c r="D122" s="5" t="s">
        <v>947</v>
      </c>
      <c r="E122" s="5" t="s">
        <v>948</v>
      </c>
      <c r="F122" s="5" t="s">
        <v>949</v>
      </c>
      <c r="G122" s="5" t="s">
        <v>950</v>
      </c>
      <c r="H122" s="4" t="s">
        <v>251</v>
      </c>
      <c r="I122" s="4" t="s">
        <v>252</v>
      </c>
      <c r="J122" s="6">
        <v>43022</v>
      </c>
      <c r="K122" s="4" t="s">
        <v>550</v>
      </c>
      <c r="L122" s="4">
        <v>1705</v>
      </c>
      <c r="M122" s="7"/>
      <c r="N122" s="7"/>
      <c r="O122" s="7"/>
      <c r="P122" s="7" t="str">
        <f t="shared" si="1"/>
        <v/>
      </c>
    </row>
    <row r="123" spans="1:16" outlineLevel="1" x14ac:dyDescent="0.3">
      <c r="A123" s="8" t="s">
        <v>348</v>
      </c>
      <c r="B123" s="9" t="str">
        <f>VLOOKUP($H2,'Required Budget Information'!$D$2:$O$104,5,FALSE)</f>
        <v>Amitai Max Samuels</v>
      </c>
      <c r="C123" s="9" t="str">
        <f>VLOOKUP($H2,'Required Budget Information'!$D$2:$O$104,6,FALSE)</f>
        <v>(857) 206-3338</v>
      </c>
      <c r="D123" s="9" t="str">
        <f>VLOOKUP($H2,'Required Budget Information'!$D$2:$O$104,7,FALSE)</f>
        <v>maxsam@terpmail.umd.edu</v>
      </c>
      <c r="E123" s="9" t="str">
        <f>VLOOKUP($H2,'Required Budget Information'!$D$2:$O$104,8,FALSE)</f>
        <v>Jannah Laserson</v>
      </c>
      <c r="F123" s="9" t="str">
        <f>VLOOKUP($H2,'Required Budget Information'!$D$2:$O$104,9,FALSE)</f>
        <v>(216) 849-3384</v>
      </c>
      <c r="G123" s="9" t="str">
        <f>VLOOKUP($H2,'Required Budget Information'!$D$2:$O$104,10,FALSE)</f>
        <v>lasersonj@gmail.com</v>
      </c>
      <c r="H123" s="8" t="s">
        <v>53</v>
      </c>
      <c r="I123" s="8" t="s">
        <v>349</v>
      </c>
      <c r="J123" s="10">
        <f>VLOOKUP($H2,'Required Budget Information'!$D$2:$O$104,12,FALSE)</f>
        <v>42988</v>
      </c>
      <c r="K123" s="8" t="s">
        <v>556</v>
      </c>
      <c r="L123" s="8">
        <v>1500</v>
      </c>
      <c r="M123" s="11"/>
      <c r="N123" s="11"/>
      <c r="O123" s="11"/>
      <c r="P123" s="11" t="str">
        <f t="shared" si="1"/>
        <v/>
      </c>
    </row>
    <row r="124" spans="1:16" outlineLevel="1" x14ac:dyDescent="0.3">
      <c r="A124" s="4" t="s">
        <v>344</v>
      </c>
      <c r="B124" s="5" t="s">
        <v>953</v>
      </c>
      <c r="C124" s="5" t="s">
        <v>954</v>
      </c>
      <c r="D124" s="5" t="s">
        <v>955</v>
      </c>
      <c r="E124" s="5" t="s">
        <v>956</v>
      </c>
      <c r="F124" s="5" t="s">
        <v>957</v>
      </c>
      <c r="G124" s="5" t="s">
        <v>958</v>
      </c>
      <c r="H124" s="4" t="s">
        <v>345</v>
      </c>
      <c r="I124" s="4" t="s">
        <v>346</v>
      </c>
      <c r="J124" s="6">
        <v>43028</v>
      </c>
      <c r="K124" s="4" t="s">
        <v>550</v>
      </c>
      <c r="L124" s="4">
        <v>34</v>
      </c>
      <c r="M124" s="7"/>
      <c r="N124" s="7"/>
      <c r="O124" s="7"/>
      <c r="P124" s="7" t="str">
        <f t="shared" si="1"/>
        <v/>
      </c>
    </row>
    <row r="125" spans="1:16" outlineLevel="1" x14ac:dyDescent="0.3">
      <c r="A125" s="8" t="s">
        <v>341</v>
      </c>
      <c r="B125" s="9" t="str">
        <f>VLOOKUP($H2,'Required Budget Information'!$D$2:$O$104,5,FALSE)</f>
        <v>Amitai Max Samuels</v>
      </c>
      <c r="C125" s="9" t="str">
        <f>VLOOKUP($H2,'Required Budget Information'!$D$2:$O$104,6,FALSE)</f>
        <v>(857) 206-3338</v>
      </c>
      <c r="D125" s="9" t="str">
        <f>VLOOKUP($H2,'Required Budget Information'!$D$2:$O$104,7,FALSE)</f>
        <v>maxsam@terpmail.umd.edu</v>
      </c>
      <c r="E125" s="9" t="str">
        <f>VLOOKUP($H2,'Required Budget Information'!$D$2:$O$104,8,FALSE)</f>
        <v>Jannah Laserson</v>
      </c>
      <c r="F125" s="9" t="str">
        <f>VLOOKUP($H2,'Required Budget Information'!$D$2:$O$104,9,FALSE)</f>
        <v>(216) 849-3384</v>
      </c>
      <c r="G125" s="9" t="str">
        <f>VLOOKUP($H2,'Required Budget Information'!$D$2:$O$104,10,FALSE)</f>
        <v>lasersonj@gmail.com</v>
      </c>
      <c r="H125" s="8" t="s">
        <v>290</v>
      </c>
      <c r="I125" s="8" t="s">
        <v>342</v>
      </c>
      <c r="J125" s="10">
        <f>VLOOKUP($H2,'Required Budget Information'!$D$2:$O$104,12,FALSE)</f>
        <v>42988</v>
      </c>
      <c r="K125" s="8" t="s">
        <v>552</v>
      </c>
      <c r="L125" s="8">
        <v>7600</v>
      </c>
      <c r="M125" s="11"/>
      <c r="N125" s="11"/>
      <c r="O125" s="11"/>
      <c r="P125" s="11" t="str">
        <f t="shared" si="1"/>
        <v/>
      </c>
    </row>
    <row r="126" spans="1:16" outlineLevel="1" x14ac:dyDescent="0.3">
      <c r="A126" s="4" t="s">
        <v>341</v>
      </c>
      <c r="B126" s="5" t="str">
        <f>VLOOKUP($H2,'Required Budget Information'!$D$2:$O$104,5,FALSE)</f>
        <v>Amitai Max Samuels</v>
      </c>
      <c r="C126" s="5" t="str">
        <f>VLOOKUP($H2,'Required Budget Information'!$D$2:$O$104,6,FALSE)</f>
        <v>(857) 206-3338</v>
      </c>
      <c r="D126" s="5" t="str">
        <f>VLOOKUP($H2,'Required Budget Information'!$D$2:$O$104,7,FALSE)</f>
        <v>maxsam@terpmail.umd.edu</v>
      </c>
      <c r="E126" s="5" t="str">
        <f>VLOOKUP($H2,'Required Budget Information'!$D$2:$O$104,8,FALSE)</f>
        <v>Jannah Laserson</v>
      </c>
      <c r="F126" s="5" t="str">
        <f>VLOOKUP($H2,'Required Budget Information'!$D$2:$O$104,9,FALSE)</f>
        <v>(216) 849-3384</v>
      </c>
      <c r="G126" s="5" t="str">
        <f>VLOOKUP($H2,'Required Budget Information'!$D$2:$O$104,10,FALSE)</f>
        <v>lasersonj@gmail.com</v>
      </c>
      <c r="H126" s="4" t="s">
        <v>290</v>
      </c>
      <c r="I126" s="4" t="s">
        <v>342</v>
      </c>
      <c r="J126" s="6">
        <f>VLOOKUP($H2,'Required Budget Information'!$D$2:$O$104,12,FALSE)</f>
        <v>42988</v>
      </c>
      <c r="K126" s="4" t="s">
        <v>550</v>
      </c>
      <c r="L126" s="4">
        <v>410</v>
      </c>
      <c r="M126" s="7"/>
      <c r="N126" s="7"/>
      <c r="O126" s="7"/>
      <c r="P126" s="7" t="str">
        <f t="shared" si="1"/>
        <v/>
      </c>
    </row>
    <row r="127" spans="1:16" outlineLevel="1" x14ac:dyDescent="0.3">
      <c r="A127" s="8" t="s">
        <v>293</v>
      </c>
      <c r="B127" s="9" t="str">
        <f>VLOOKUP($H2,'Required Budget Information'!$D$2:$O$104,5,FALSE)</f>
        <v>Amitai Max Samuels</v>
      </c>
      <c r="C127" s="9" t="str">
        <f>VLOOKUP($H2,'Required Budget Information'!$D$2:$O$104,6,FALSE)</f>
        <v>(857) 206-3338</v>
      </c>
      <c r="D127" s="9" t="str">
        <f>VLOOKUP($H2,'Required Budget Information'!$D$2:$O$104,7,FALSE)</f>
        <v>maxsam@terpmail.umd.edu</v>
      </c>
      <c r="E127" s="9" t="str">
        <f>VLOOKUP($H2,'Required Budget Information'!$D$2:$O$104,8,FALSE)</f>
        <v>Jannah Laserson</v>
      </c>
      <c r="F127" s="9" t="str">
        <f>VLOOKUP($H2,'Required Budget Information'!$D$2:$O$104,9,FALSE)</f>
        <v>(216) 849-3384</v>
      </c>
      <c r="G127" s="9" t="str">
        <f>VLOOKUP($H2,'Required Budget Information'!$D$2:$O$104,10,FALSE)</f>
        <v>lasersonj@gmail.com</v>
      </c>
      <c r="H127" s="8" t="s">
        <v>294</v>
      </c>
      <c r="I127" s="8" t="s">
        <v>295</v>
      </c>
      <c r="J127" s="10">
        <f>VLOOKUP($H2,'Required Budget Information'!$D$2:$O$104,12,FALSE)</f>
        <v>42988</v>
      </c>
      <c r="K127" s="8" t="s">
        <v>580</v>
      </c>
      <c r="L127" s="8">
        <v>324</v>
      </c>
      <c r="M127" s="11"/>
      <c r="N127" s="11"/>
      <c r="O127" s="11"/>
      <c r="P127" s="11" t="str">
        <f t="shared" si="1"/>
        <v/>
      </c>
    </row>
    <row r="128" spans="1:16" outlineLevel="1" x14ac:dyDescent="0.3">
      <c r="A128" s="4" t="s">
        <v>338</v>
      </c>
      <c r="B128" s="5" t="str">
        <f>VLOOKUP($H2,'Required Budget Information'!$D$2:$O$104,5,FALSE)</f>
        <v>Amitai Max Samuels</v>
      </c>
      <c r="C128" s="5" t="str">
        <f>VLOOKUP($H2,'Required Budget Information'!$D$2:$O$104,6,FALSE)</f>
        <v>(857) 206-3338</v>
      </c>
      <c r="D128" s="5" t="str">
        <f>VLOOKUP($H2,'Required Budget Information'!$D$2:$O$104,7,FALSE)</f>
        <v>maxsam@terpmail.umd.edu</v>
      </c>
      <c r="E128" s="5" t="str">
        <f>VLOOKUP($H2,'Required Budget Information'!$D$2:$O$104,8,FALSE)</f>
        <v>Jannah Laserson</v>
      </c>
      <c r="F128" s="5" t="str">
        <f>VLOOKUP($H2,'Required Budget Information'!$D$2:$O$104,9,FALSE)</f>
        <v>(216) 849-3384</v>
      </c>
      <c r="G128" s="5" t="str">
        <f>VLOOKUP($H2,'Required Budget Information'!$D$2:$O$104,10,FALSE)</f>
        <v>lasersonj@gmail.com</v>
      </c>
      <c r="H128" s="4" t="s">
        <v>53</v>
      </c>
      <c r="I128" s="4" t="s">
        <v>339</v>
      </c>
      <c r="J128" s="6">
        <f>VLOOKUP($H2,'Required Budget Information'!$D$2:$O$104,12,FALSE)</f>
        <v>42988</v>
      </c>
      <c r="K128" s="4" t="s">
        <v>591</v>
      </c>
      <c r="L128" s="4">
        <v>1500</v>
      </c>
      <c r="M128" s="7"/>
      <c r="N128" s="7"/>
      <c r="O128" s="7"/>
      <c r="P128" s="7" t="str">
        <f t="shared" si="1"/>
        <v/>
      </c>
    </row>
    <row r="129" spans="1:16" outlineLevel="1" x14ac:dyDescent="0.3">
      <c r="A129" s="8" t="s">
        <v>242</v>
      </c>
      <c r="B129" s="9" t="s">
        <v>960</v>
      </c>
      <c r="C129" s="9" t="s">
        <v>961</v>
      </c>
      <c r="D129" s="9" t="s">
        <v>962</v>
      </c>
      <c r="E129" s="9" t="s">
        <v>963</v>
      </c>
      <c r="F129" s="9" t="s">
        <v>964</v>
      </c>
      <c r="G129" s="9" t="s">
        <v>965</v>
      </c>
      <c r="H129" s="8" t="s">
        <v>243</v>
      </c>
      <c r="I129" s="8" t="s">
        <v>244</v>
      </c>
      <c r="J129" s="10">
        <v>43057</v>
      </c>
      <c r="K129" s="8" t="s">
        <v>550</v>
      </c>
      <c r="L129" s="8">
        <v>3300</v>
      </c>
      <c r="M129" s="11"/>
      <c r="N129" s="11"/>
      <c r="O129" s="11"/>
      <c r="P129" s="11" t="str">
        <f t="shared" si="1"/>
        <v/>
      </c>
    </row>
    <row r="130" spans="1:16" outlineLevel="1" x14ac:dyDescent="0.3">
      <c r="A130" s="4" t="s">
        <v>242</v>
      </c>
      <c r="B130" s="5" t="s">
        <v>960</v>
      </c>
      <c r="C130" s="5" t="s">
        <v>961</v>
      </c>
      <c r="D130" s="5" t="s">
        <v>962</v>
      </c>
      <c r="E130" s="5" t="s">
        <v>963</v>
      </c>
      <c r="F130" s="5" t="s">
        <v>964</v>
      </c>
      <c r="G130" s="5" t="s">
        <v>965</v>
      </c>
      <c r="H130" s="4" t="s">
        <v>243</v>
      </c>
      <c r="I130" s="4" t="s">
        <v>244</v>
      </c>
      <c r="J130" s="6">
        <v>43057</v>
      </c>
      <c r="K130" s="4" t="s">
        <v>580</v>
      </c>
      <c r="L130" s="4">
        <v>999.2</v>
      </c>
      <c r="M130" s="7"/>
      <c r="N130" s="7"/>
      <c r="O130" s="7"/>
      <c r="P130" s="7" t="str">
        <f t="shared" si="1"/>
        <v/>
      </c>
    </row>
    <row r="131" spans="1:16" outlineLevel="1" x14ac:dyDescent="0.3">
      <c r="A131" s="8" t="s">
        <v>297</v>
      </c>
      <c r="B131" s="9" t="str">
        <f>VLOOKUP($H2,'Required Budget Information'!$D$2:$O$104,5,FALSE)</f>
        <v>Amitai Max Samuels</v>
      </c>
      <c r="C131" s="9" t="str">
        <f>VLOOKUP($H2,'Required Budget Information'!$D$2:$O$104,6,FALSE)</f>
        <v>(857) 206-3338</v>
      </c>
      <c r="D131" s="9" t="str">
        <f>VLOOKUP($H2,'Required Budget Information'!$D$2:$O$104,7,FALSE)</f>
        <v>maxsam@terpmail.umd.edu</v>
      </c>
      <c r="E131" s="9" t="str">
        <f>VLOOKUP($H2,'Required Budget Information'!$D$2:$O$104,8,FALSE)</f>
        <v>Jannah Laserson</v>
      </c>
      <c r="F131" s="9" t="str">
        <f>VLOOKUP($H2,'Required Budget Information'!$D$2:$O$104,9,FALSE)</f>
        <v>(216) 849-3384</v>
      </c>
      <c r="G131" s="9" t="str">
        <f>VLOOKUP($H2,'Required Budget Information'!$D$2:$O$104,10,FALSE)</f>
        <v>lasersonj@gmail.com</v>
      </c>
      <c r="H131" s="8" t="s">
        <v>294</v>
      </c>
      <c r="I131" s="8" t="s">
        <v>298</v>
      </c>
      <c r="J131" s="10">
        <f>VLOOKUP($H2,'Required Budget Information'!$D$2:$O$104,12,FALSE)</f>
        <v>42988</v>
      </c>
      <c r="K131" s="8" t="s">
        <v>561</v>
      </c>
      <c r="L131" s="8">
        <v>585.63</v>
      </c>
      <c r="M131" s="11"/>
      <c r="N131" s="11"/>
      <c r="O131" s="11"/>
      <c r="P131" s="11" t="str">
        <f t="shared" ref="P131:P194" si="2">IF(VALUE(N131)=VALUE(L131),IF(TRIM(M131)&lt;&gt;"Fully Fund", "Check Committee Decision","Good"),IF(VALUE(N131)&gt;0,IF(TRIM(M131)&lt;&gt;"Partially Fund","Check Committee Decision", IF(O131&lt;&gt;"","Good","Reason?")),IF(TRIM(M131)&lt;&gt;"Not Fund", IF(TRIM(M131)&lt;&gt;"","Check Committee Decision", ""), IF(O131&lt;&gt;"","Good","Reason?"))))</f>
        <v/>
      </c>
    </row>
    <row r="132" spans="1:16" outlineLevel="1" x14ac:dyDescent="0.3">
      <c r="A132" s="4" t="s">
        <v>334</v>
      </c>
      <c r="B132" s="5" t="s">
        <v>968</v>
      </c>
      <c r="C132" s="5" t="s">
        <v>969</v>
      </c>
      <c r="D132" s="5" t="s">
        <v>970</v>
      </c>
      <c r="E132" s="5" t="s">
        <v>971</v>
      </c>
      <c r="F132" s="5" t="s">
        <v>972</v>
      </c>
      <c r="G132" s="5" t="s">
        <v>973</v>
      </c>
      <c r="H132" s="4" t="s">
        <v>335</v>
      </c>
      <c r="I132" s="4" t="s">
        <v>336</v>
      </c>
      <c r="J132" s="6">
        <v>43032</v>
      </c>
      <c r="K132" s="4" t="s">
        <v>556</v>
      </c>
      <c r="L132" s="4">
        <v>2050</v>
      </c>
      <c r="M132" s="7"/>
      <c r="N132" s="7"/>
      <c r="O132" s="7"/>
      <c r="P132" s="7" t="str">
        <f t="shared" si="2"/>
        <v/>
      </c>
    </row>
    <row r="133" spans="1:16" outlineLevel="1" x14ac:dyDescent="0.3">
      <c r="A133" s="8" t="s">
        <v>334</v>
      </c>
      <c r="B133" s="9" t="s">
        <v>968</v>
      </c>
      <c r="C133" s="9" t="s">
        <v>969</v>
      </c>
      <c r="D133" s="9" t="s">
        <v>970</v>
      </c>
      <c r="E133" s="9" t="s">
        <v>971</v>
      </c>
      <c r="F133" s="9" t="s">
        <v>972</v>
      </c>
      <c r="G133" s="9" t="s">
        <v>973</v>
      </c>
      <c r="H133" s="8" t="s">
        <v>335</v>
      </c>
      <c r="I133" s="8" t="s">
        <v>336</v>
      </c>
      <c r="J133" s="10">
        <v>43032</v>
      </c>
      <c r="K133" s="8" t="s">
        <v>550</v>
      </c>
      <c r="L133" s="8">
        <v>255</v>
      </c>
      <c r="M133" s="11"/>
      <c r="N133" s="11"/>
      <c r="O133" s="11"/>
      <c r="P133" s="11" t="str">
        <f t="shared" si="2"/>
        <v/>
      </c>
    </row>
    <row r="134" spans="1:16" outlineLevel="1" x14ac:dyDescent="0.3">
      <c r="A134" s="4" t="s">
        <v>261</v>
      </c>
      <c r="B134" s="5" t="str">
        <f>VLOOKUP($H2,'Required Budget Information'!$D$2:$O$104,5,FALSE)</f>
        <v>Amitai Max Samuels</v>
      </c>
      <c r="C134" s="5" t="str">
        <f>VLOOKUP($H2,'Required Budget Information'!$D$2:$O$104,6,FALSE)</f>
        <v>(857) 206-3338</v>
      </c>
      <c r="D134" s="5" t="str">
        <f>VLOOKUP($H2,'Required Budget Information'!$D$2:$O$104,7,FALSE)</f>
        <v>maxsam@terpmail.umd.edu</v>
      </c>
      <c r="E134" s="5" t="str">
        <f>VLOOKUP($H2,'Required Budget Information'!$D$2:$O$104,8,FALSE)</f>
        <v>Jannah Laserson</v>
      </c>
      <c r="F134" s="5" t="str">
        <f>VLOOKUP($H2,'Required Budget Information'!$D$2:$O$104,9,FALSE)</f>
        <v>(216) 849-3384</v>
      </c>
      <c r="G134" s="5" t="str">
        <f>VLOOKUP($H2,'Required Budget Information'!$D$2:$O$104,10,FALSE)</f>
        <v>lasersonj@gmail.com</v>
      </c>
      <c r="H134" s="4" t="s">
        <v>262</v>
      </c>
      <c r="I134" s="4" t="s">
        <v>263</v>
      </c>
      <c r="J134" s="6">
        <f>VLOOKUP($H2,'Required Budget Information'!$D$2:$O$104,12,FALSE)</f>
        <v>42988</v>
      </c>
      <c r="K134" s="4" t="s">
        <v>556</v>
      </c>
      <c r="L134" s="4">
        <v>3455</v>
      </c>
      <c r="M134" s="7"/>
      <c r="N134" s="7"/>
      <c r="O134" s="7"/>
      <c r="P134" s="7" t="str">
        <f t="shared" si="2"/>
        <v/>
      </c>
    </row>
    <row r="135" spans="1:16" outlineLevel="1" x14ac:dyDescent="0.3">
      <c r="A135" s="8" t="s">
        <v>286</v>
      </c>
      <c r="B135" s="9" t="s">
        <v>975</v>
      </c>
      <c r="C135" s="9" t="s">
        <v>976</v>
      </c>
      <c r="D135" s="9" t="s">
        <v>977</v>
      </c>
      <c r="E135" s="9" t="s">
        <v>978</v>
      </c>
      <c r="F135" s="9" t="s">
        <v>979</v>
      </c>
      <c r="G135" s="9" t="s">
        <v>980</v>
      </c>
      <c r="H135" s="8" t="s">
        <v>235</v>
      </c>
      <c r="I135" s="8" t="s">
        <v>287</v>
      </c>
      <c r="J135" s="10">
        <v>42974</v>
      </c>
      <c r="K135" s="8" t="s">
        <v>550</v>
      </c>
      <c r="L135" s="8">
        <v>598.5</v>
      </c>
      <c r="M135" s="11"/>
      <c r="N135" s="11"/>
      <c r="O135" s="11"/>
      <c r="P135" s="11" t="str">
        <f t="shared" si="2"/>
        <v/>
      </c>
    </row>
    <row r="136" spans="1:16" outlineLevel="1" x14ac:dyDescent="0.3">
      <c r="A136" s="4" t="s">
        <v>207</v>
      </c>
      <c r="B136" s="5" t="s">
        <v>983</v>
      </c>
      <c r="C136" s="5" t="s">
        <v>984</v>
      </c>
      <c r="D136" s="5" t="s">
        <v>985</v>
      </c>
      <c r="E136" s="5" t="s">
        <v>986</v>
      </c>
      <c r="F136" s="5" t="s">
        <v>987</v>
      </c>
      <c r="G136" s="5" t="s">
        <v>988</v>
      </c>
      <c r="H136" s="4" t="s">
        <v>208</v>
      </c>
      <c r="I136" s="4" t="s">
        <v>209</v>
      </c>
      <c r="J136" s="6">
        <v>42975</v>
      </c>
      <c r="K136" s="4" t="s">
        <v>561</v>
      </c>
      <c r="L136" s="4">
        <v>288.43</v>
      </c>
      <c r="M136" s="7"/>
      <c r="N136" s="7"/>
      <c r="O136" s="7"/>
      <c r="P136" s="7" t="str">
        <f t="shared" si="2"/>
        <v/>
      </c>
    </row>
    <row r="137" spans="1:16" outlineLevel="1" x14ac:dyDescent="0.3">
      <c r="A137" s="8" t="s">
        <v>207</v>
      </c>
      <c r="B137" s="9" t="s">
        <v>983</v>
      </c>
      <c r="C137" s="9" t="s">
        <v>984</v>
      </c>
      <c r="D137" s="9" t="s">
        <v>985</v>
      </c>
      <c r="E137" s="9" t="s">
        <v>986</v>
      </c>
      <c r="F137" s="9" t="s">
        <v>987</v>
      </c>
      <c r="G137" s="9" t="s">
        <v>988</v>
      </c>
      <c r="H137" s="8" t="s">
        <v>208</v>
      </c>
      <c r="I137" s="8" t="s">
        <v>209</v>
      </c>
      <c r="J137" s="10">
        <v>42975</v>
      </c>
      <c r="K137" s="8" t="s">
        <v>561</v>
      </c>
      <c r="L137" s="8">
        <v>275.82</v>
      </c>
      <c r="M137" s="11"/>
      <c r="N137" s="11"/>
      <c r="O137" s="11"/>
      <c r="P137" s="11" t="str">
        <f t="shared" si="2"/>
        <v/>
      </c>
    </row>
    <row r="138" spans="1:16" outlineLevel="1" x14ac:dyDescent="0.3">
      <c r="A138" s="4" t="s">
        <v>129</v>
      </c>
      <c r="B138" s="5" t="s">
        <v>963</v>
      </c>
      <c r="C138" s="5" t="s">
        <v>990</v>
      </c>
      <c r="D138" s="5" t="s">
        <v>965</v>
      </c>
      <c r="E138" s="5" t="s">
        <v>991</v>
      </c>
      <c r="F138" s="5" t="s">
        <v>992</v>
      </c>
      <c r="G138" s="5" t="s">
        <v>993</v>
      </c>
      <c r="H138" s="4" t="s">
        <v>130</v>
      </c>
      <c r="I138" s="4" t="s">
        <v>131</v>
      </c>
      <c r="J138" s="6">
        <v>43043</v>
      </c>
      <c r="K138" s="4" t="s">
        <v>550</v>
      </c>
      <c r="L138" s="4">
        <v>3100</v>
      </c>
      <c r="M138" s="7"/>
      <c r="N138" s="7"/>
      <c r="O138" s="7"/>
      <c r="P138" s="7" t="str">
        <f t="shared" si="2"/>
        <v/>
      </c>
    </row>
    <row r="139" spans="1:16" outlineLevel="1" x14ac:dyDescent="0.3">
      <c r="A139" s="8" t="s">
        <v>129</v>
      </c>
      <c r="B139" s="9" t="s">
        <v>963</v>
      </c>
      <c r="C139" s="9" t="s">
        <v>990</v>
      </c>
      <c r="D139" s="9" t="s">
        <v>965</v>
      </c>
      <c r="E139" s="9" t="s">
        <v>991</v>
      </c>
      <c r="F139" s="9" t="s">
        <v>992</v>
      </c>
      <c r="G139" s="9" t="s">
        <v>993</v>
      </c>
      <c r="H139" s="8" t="s">
        <v>130</v>
      </c>
      <c r="I139" s="8" t="s">
        <v>131</v>
      </c>
      <c r="J139" s="10">
        <v>43043</v>
      </c>
      <c r="K139" s="8" t="s">
        <v>556</v>
      </c>
      <c r="L139" s="8">
        <v>2100</v>
      </c>
      <c r="M139" s="11"/>
      <c r="N139" s="11"/>
      <c r="O139" s="11"/>
      <c r="P139" s="11" t="str">
        <f t="shared" si="2"/>
        <v/>
      </c>
    </row>
    <row r="140" spans="1:16" outlineLevel="1" x14ac:dyDescent="0.3">
      <c r="A140" s="4" t="s">
        <v>129</v>
      </c>
      <c r="B140" s="5" t="s">
        <v>963</v>
      </c>
      <c r="C140" s="5" t="s">
        <v>990</v>
      </c>
      <c r="D140" s="5" t="s">
        <v>965</v>
      </c>
      <c r="E140" s="5" t="s">
        <v>991</v>
      </c>
      <c r="F140" s="5" t="s">
        <v>992</v>
      </c>
      <c r="G140" s="5" t="s">
        <v>993</v>
      </c>
      <c r="H140" s="4" t="s">
        <v>130</v>
      </c>
      <c r="I140" s="4" t="s">
        <v>131</v>
      </c>
      <c r="J140" s="6">
        <v>43043</v>
      </c>
      <c r="K140" s="4" t="s">
        <v>550</v>
      </c>
      <c r="L140" s="4">
        <v>1250</v>
      </c>
      <c r="M140" s="7"/>
      <c r="N140" s="7"/>
      <c r="O140" s="7"/>
      <c r="P140" s="7" t="str">
        <f t="shared" si="2"/>
        <v/>
      </c>
    </row>
    <row r="141" spans="1:16" outlineLevel="1" x14ac:dyDescent="0.3">
      <c r="A141" s="8" t="s">
        <v>129</v>
      </c>
      <c r="B141" s="9" t="s">
        <v>963</v>
      </c>
      <c r="C141" s="9" t="s">
        <v>990</v>
      </c>
      <c r="D141" s="9" t="s">
        <v>965</v>
      </c>
      <c r="E141" s="9" t="s">
        <v>991</v>
      </c>
      <c r="F141" s="9" t="s">
        <v>992</v>
      </c>
      <c r="G141" s="9" t="s">
        <v>993</v>
      </c>
      <c r="H141" s="8" t="s">
        <v>130</v>
      </c>
      <c r="I141" s="8" t="s">
        <v>131</v>
      </c>
      <c r="J141" s="10">
        <v>43043</v>
      </c>
      <c r="K141" s="8" t="s">
        <v>570</v>
      </c>
      <c r="L141" s="8">
        <v>583</v>
      </c>
      <c r="M141" s="11"/>
      <c r="N141" s="11"/>
      <c r="O141" s="11"/>
      <c r="P141" s="11" t="str">
        <f t="shared" si="2"/>
        <v/>
      </c>
    </row>
    <row r="142" spans="1:16" outlineLevel="1" x14ac:dyDescent="0.3">
      <c r="A142" s="4" t="s">
        <v>129</v>
      </c>
      <c r="B142" s="5" t="s">
        <v>963</v>
      </c>
      <c r="C142" s="5" t="s">
        <v>990</v>
      </c>
      <c r="D142" s="5" t="s">
        <v>965</v>
      </c>
      <c r="E142" s="5" t="s">
        <v>991</v>
      </c>
      <c r="F142" s="5" t="s">
        <v>992</v>
      </c>
      <c r="G142" s="5" t="s">
        <v>993</v>
      </c>
      <c r="H142" s="4" t="s">
        <v>130</v>
      </c>
      <c r="I142" s="4" t="s">
        <v>131</v>
      </c>
      <c r="J142" s="6">
        <v>43043</v>
      </c>
      <c r="K142" s="4" t="s">
        <v>608</v>
      </c>
      <c r="L142" s="4">
        <v>718.8</v>
      </c>
      <c r="M142" s="7"/>
      <c r="N142" s="7"/>
      <c r="O142" s="7"/>
      <c r="P142" s="7" t="str">
        <f t="shared" si="2"/>
        <v/>
      </c>
    </row>
    <row r="143" spans="1:16" outlineLevel="1" x14ac:dyDescent="0.3">
      <c r="A143" s="8" t="s">
        <v>129</v>
      </c>
      <c r="B143" s="9" t="s">
        <v>963</v>
      </c>
      <c r="C143" s="9" t="s">
        <v>990</v>
      </c>
      <c r="D143" s="9" t="s">
        <v>965</v>
      </c>
      <c r="E143" s="9" t="s">
        <v>991</v>
      </c>
      <c r="F143" s="9" t="s">
        <v>992</v>
      </c>
      <c r="G143" s="9" t="s">
        <v>993</v>
      </c>
      <c r="H143" s="8" t="s">
        <v>130</v>
      </c>
      <c r="I143" s="8" t="s">
        <v>131</v>
      </c>
      <c r="J143" s="10">
        <v>43043</v>
      </c>
      <c r="K143" s="8" t="s">
        <v>580</v>
      </c>
      <c r="L143" s="8">
        <v>1275.0999999999999</v>
      </c>
      <c r="M143" s="11"/>
      <c r="N143" s="11"/>
      <c r="O143" s="11"/>
      <c r="P143" s="11" t="str">
        <f t="shared" si="2"/>
        <v/>
      </c>
    </row>
    <row r="144" spans="1:16" outlineLevel="1" x14ac:dyDescent="0.3">
      <c r="A144" s="4" t="s">
        <v>129</v>
      </c>
      <c r="B144" s="5" t="s">
        <v>963</v>
      </c>
      <c r="C144" s="5" t="s">
        <v>990</v>
      </c>
      <c r="D144" s="5" t="s">
        <v>965</v>
      </c>
      <c r="E144" s="5" t="s">
        <v>991</v>
      </c>
      <c r="F144" s="5" t="s">
        <v>992</v>
      </c>
      <c r="G144" s="5" t="s">
        <v>993</v>
      </c>
      <c r="H144" s="4" t="s">
        <v>130</v>
      </c>
      <c r="I144" s="4" t="s">
        <v>131</v>
      </c>
      <c r="J144" s="6">
        <v>43043</v>
      </c>
      <c r="K144" s="4" t="s">
        <v>550</v>
      </c>
      <c r="L144" s="4">
        <v>950</v>
      </c>
      <c r="M144" s="7"/>
      <c r="N144" s="7"/>
      <c r="O144" s="7"/>
      <c r="P144" s="7" t="str">
        <f t="shared" si="2"/>
        <v/>
      </c>
    </row>
    <row r="145" spans="1:16" outlineLevel="1" x14ac:dyDescent="0.3">
      <c r="A145" s="8" t="s">
        <v>129</v>
      </c>
      <c r="B145" s="9" t="s">
        <v>963</v>
      </c>
      <c r="C145" s="9" t="s">
        <v>990</v>
      </c>
      <c r="D145" s="9" t="s">
        <v>965</v>
      </c>
      <c r="E145" s="9" t="s">
        <v>991</v>
      </c>
      <c r="F145" s="9" t="s">
        <v>992</v>
      </c>
      <c r="G145" s="9" t="s">
        <v>993</v>
      </c>
      <c r="H145" s="8" t="s">
        <v>130</v>
      </c>
      <c r="I145" s="8" t="s">
        <v>131</v>
      </c>
      <c r="J145" s="10">
        <v>43043</v>
      </c>
      <c r="K145" s="8" t="s">
        <v>556</v>
      </c>
      <c r="L145" s="8">
        <v>1500</v>
      </c>
      <c r="M145" s="11"/>
      <c r="N145" s="11"/>
      <c r="O145" s="11"/>
      <c r="P145" s="11" t="str">
        <f t="shared" si="2"/>
        <v/>
      </c>
    </row>
    <row r="146" spans="1:16" outlineLevel="1" x14ac:dyDescent="0.3">
      <c r="A146" s="4" t="s">
        <v>129</v>
      </c>
      <c r="B146" s="5" t="s">
        <v>963</v>
      </c>
      <c r="C146" s="5" t="s">
        <v>990</v>
      </c>
      <c r="D146" s="5" t="s">
        <v>965</v>
      </c>
      <c r="E146" s="5" t="s">
        <v>991</v>
      </c>
      <c r="F146" s="5" t="s">
        <v>992</v>
      </c>
      <c r="G146" s="5" t="s">
        <v>993</v>
      </c>
      <c r="H146" s="4" t="s">
        <v>130</v>
      </c>
      <c r="I146" s="4" t="s">
        <v>131</v>
      </c>
      <c r="J146" s="6">
        <v>43043</v>
      </c>
      <c r="K146" s="4" t="s">
        <v>561</v>
      </c>
      <c r="L146" s="4">
        <v>895.8</v>
      </c>
      <c r="M146" s="7"/>
      <c r="N146" s="7"/>
      <c r="O146" s="7"/>
      <c r="P146" s="7" t="str">
        <f t="shared" si="2"/>
        <v/>
      </c>
    </row>
    <row r="147" spans="1:16" outlineLevel="1" x14ac:dyDescent="0.3">
      <c r="A147" s="8" t="s">
        <v>129</v>
      </c>
      <c r="B147" s="9" t="s">
        <v>963</v>
      </c>
      <c r="C147" s="9" t="s">
        <v>990</v>
      </c>
      <c r="D147" s="9" t="s">
        <v>965</v>
      </c>
      <c r="E147" s="9" t="s">
        <v>991</v>
      </c>
      <c r="F147" s="9" t="s">
        <v>992</v>
      </c>
      <c r="G147" s="9" t="s">
        <v>993</v>
      </c>
      <c r="H147" s="8" t="s">
        <v>130</v>
      </c>
      <c r="I147" s="8" t="s">
        <v>131</v>
      </c>
      <c r="J147" s="10">
        <v>43043</v>
      </c>
      <c r="K147" s="8" t="s">
        <v>561</v>
      </c>
      <c r="L147" s="8">
        <v>642.96</v>
      </c>
      <c r="M147" s="11"/>
      <c r="N147" s="11"/>
      <c r="O147" s="11"/>
      <c r="P147" s="11" t="str">
        <f t="shared" si="2"/>
        <v/>
      </c>
    </row>
    <row r="148" spans="1:16" outlineLevel="1" x14ac:dyDescent="0.3">
      <c r="A148" s="4" t="s">
        <v>129</v>
      </c>
      <c r="B148" s="5" t="s">
        <v>963</v>
      </c>
      <c r="C148" s="5" t="s">
        <v>990</v>
      </c>
      <c r="D148" s="5" t="s">
        <v>965</v>
      </c>
      <c r="E148" s="5" t="s">
        <v>991</v>
      </c>
      <c r="F148" s="5" t="s">
        <v>992</v>
      </c>
      <c r="G148" s="5" t="s">
        <v>993</v>
      </c>
      <c r="H148" s="4" t="s">
        <v>130</v>
      </c>
      <c r="I148" s="4" t="s">
        <v>131</v>
      </c>
      <c r="J148" s="6">
        <v>43043</v>
      </c>
      <c r="K148" s="4" t="s">
        <v>552</v>
      </c>
      <c r="L148" s="4">
        <v>2725</v>
      </c>
      <c r="M148" s="7"/>
      <c r="N148" s="7"/>
      <c r="O148" s="7"/>
      <c r="P148" s="7" t="str">
        <f t="shared" si="2"/>
        <v/>
      </c>
    </row>
    <row r="149" spans="1:16" outlineLevel="1" x14ac:dyDescent="0.3">
      <c r="A149" s="8" t="s">
        <v>106</v>
      </c>
      <c r="B149" s="9" t="s">
        <v>995</v>
      </c>
      <c r="C149" s="9" t="s">
        <v>996</v>
      </c>
      <c r="D149" s="9" t="s">
        <v>997</v>
      </c>
      <c r="E149" s="9" t="s">
        <v>998</v>
      </c>
      <c r="F149" s="9" t="s">
        <v>999</v>
      </c>
      <c r="G149" s="9" t="s">
        <v>1000</v>
      </c>
      <c r="H149" s="8" t="s">
        <v>107</v>
      </c>
      <c r="I149" s="8" t="s">
        <v>108</v>
      </c>
      <c r="J149" s="10">
        <v>43015</v>
      </c>
      <c r="K149" s="8" t="s">
        <v>550</v>
      </c>
      <c r="L149" s="8">
        <v>559</v>
      </c>
      <c r="M149" s="11"/>
      <c r="N149" s="11"/>
      <c r="O149" s="11"/>
      <c r="P149" s="11" t="str">
        <f t="shared" si="2"/>
        <v/>
      </c>
    </row>
    <row r="150" spans="1:16" outlineLevel="1" x14ac:dyDescent="0.3">
      <c r="A150" s="4" t="s">
        <v>106</v>
      </c>
      <c r="B150" s="5" t="s">
        <v>995</v>
      </c>
      <c r="C150" s="5" t="s">
        <v>996</v>
      </c>
      <c r="D150" s="5" t="s">
        <v>997</v>
      </c>
      <c r="E150" s="5" t="s">
        <v>998</v>
      </c>
      <c r="F150" s="5" t="s">
        <v>999</v>
      </c>
      <c r="G150" s="5" t="s">
        <v>1000</v>
      </c>
      <c r="H150" s="4" t="s">
        <v>107</v>
      </c>
      <c r="I150" s="4" t="s">
        <v>108</v>
      </c>
      <c r="J150" s="6">
        <v>43015</v>
      </c>
      <c r="K150" s="4" t="s">
        <v>552</v>
      </c>
      <c r="L150" s="4">
        <v>105</v>
      </c>
      <c r="M150" s="7"/>
      <c r="N150" s="7"/>
      <c r="O150" s="7"/>
      <c r="P150" s="7" t="str">
        <f t="shared" si="2"/>
        <v/>
      </c>
    </row>
    <row r="151" spans="1:16" outlineLevel="1" x14ac:dyDescent="0.3">
      <c r="A151" s="8" t="s">
        <v>106</v>
      </c>
      <c r="B151" s="9" t="s">
        <v>995</v>
      </c>
      <c r="C151" s="9" t="s">
        <v>996</v>
      </c>
      <c r="D151" s="9" t="s">
        <v>997</v>
      </c>
      <c r="E151" s="9" t="s">
        <v>998</v>
      </c>
      <c r="F151" s="9" t="s">
        <v>999</v>
      </c>
      <c r="G151" s="9" t="s">
        <v>1000</v>
      </c>
      <c r="H151" s="8" t="s">
        <v>107</v>
      </c>
      <c r="I151" s="8" t="s">
        <v>108</v>
      </c>
      <c r="J151" s="10">
        <v>43015</v>
      </c>
      <c r="K151" s="8" t="s">
        <v>556</v>
      </c>
      <c r="L151" s="8">
        <v>295</v>
      </c>
      <c r="M151" s="11"/>
      <c r="N151" s="11"/>
      <c r="O151" s="11"/>
      <c r="P151" s="11" t="str">
        <f t="shared" si="2"/>
        <v/>
      </c>
    </row>
    <row r="152" spans="1:16" outlineLevel="1" x14ac:dyDescent="0.3">
      <c r="A152" s="4" t="s">
        <v>106</v>
      </c>
      <c r="B152" s="5" t="s">
        <v>995</v>
      </c>
      <c r="C152" s="5" t="s">
        <v>996</v>
      </c>
      <c r="D152" s="5" t="s">
        <v>997</v>
      </c>
      <c r="E152" s="5" t="s">
        <v>998</v>
      </c>
      <c r="F152" s="5" t="s">
        <v>999</v>
      </c>
      <c r="G152" s="5" t="s">
        <v>1000</v>
      </c>
      <c r="H152" s="4" t="s">
        <v>107</v>
      </c>
      <c r="I152" s="4" t="s">
        <v>108</v>
      </c>
      <c r="J152" s="6">
        <v>43015</v>
      </c>
      <c r="K152" s="4" t="s">
        <v>556</v>
      </c>
      <c r="L152" s="4">
        <v>1700</v>
      </c>
      <c r="M152" s="7"/>
      <c r="N152" s="7"/>
      <c r="O152" s="7"/>
      <c r="P152" s="7" t="str">
        <f t="shared" si="2"/>
        <v/>
      </c>
    </row>
    <row r="153" spans="1:16" outlineLevel="1" x14ac:dyDescent="0.3">
      <c r="A153" s="8" t="s">
        <v>106</v>
      </c>
      <c r="B153" s="9" t="s">
        <v>995</v>
      </c>
      <c r="C153" s="9" t="s">
        <v>996</v>
      </c>
      <c r="D153" s="9" t="s">
        <v>997</v>
      </c>
      <c r="E153" s="9" t="s">
        <v>998</v>
      </c>
      <c r="F153" s="9" t="s">
        <v>999</v>
      </c>
      <c r="G153" s="9" t="s">
        <v>1000</v>
      </c>
      <c r="H153" s="8" t="s">
        <v>107</v>
      </c>
      <c r="I153" s="8" t="s">
        <v>108</v>
      </c>
      <c r="J153" s="10">
        <v>43015</v>
      </c>
      <c r="K153" s="8" t="s">
        <v>570</v>
      </c>
      <c r="L153" s="8">
        <v>67.84</v>
      </c>
      <c r="M153" s="11"/>
      <c r="N153" s="11"/>
      <c r="O153" s="11"/>
      <c r="P153" s="11" t="str">
        <f t="shared" si="2"/>
        <v/>
      </c>
    </row>
    <row r="154" spans="1:16" outlineLevel="1" x14ac:dyDescent="0.3">
      <c r="A154" s="4" t="s">
        <v>330</v>
      </c>
      <c r="B154" s="5" t="s">
        <v>1003</v>
      </c>
      <c r="C154" s="5" t="s">
        <v>1004</v>
      </c>
      <c r="D154" s="5" t="s">
        <v>1005</v>
      </c>
      <c r="E154" s="5" t="s">
        <v>1006</v>
      </c>
      <c r="F154" s="5" t="s">
        <v>1007</v>
      </c>
      <c r="G154" s="5" t="s">
        <v>1008</v>
      </c>
      <c r="H154" s="4" t="s">
        <v>331</v>
      </c>
      <c r="I154" s="4" t="s">
        <v>332</v>
      </c>
      <c r="J154" s="6">
        <v>43036</v>
      </c>
      <c r="K154" s="4" t="s">
        <v>561</v>
      </c>
      <c r="L154" s="4">
        <v>796.46</v>
      </c>
      <c r="M154" s="7"/>
      <c r="N154" s="7"/>
      <c r="O154" s="7"/>
      <c r="P154" s="7" t="str">
        <f t="shared" si="2"/>
        <v/>
      </c>
    </row>
    <row r="155" spans="1:16" outlineLevel="1" x14ac:dyDescent="0.3">
      <c r="A155" s="8" t="s">
        <v>326</v>
      </c>
      <c r="B155" s="9" t="s">
        <v>1011</v>
      </c>
      <c r="C155" s="9" t="s">
        <v>1012</v>
      </c>
      <c r="D155" s="9" t="s">
        <v>1013</v>
      </c>
      <c r="E155" s="9" t="s">
        <v>1014</v>
      </c>
      <c r="F155" s="9" t="s">
        <v>1015</v>
      </c>
      <c r="G155" s="9" t="s">
        <v>1016</v>
      </c>
      <c r="H155" s="8" t="s">
        <v>327</v>
      </c>
      <c r="I155" s="8" t="s">
        <v>328</v>
      </c>
      <c r="J155" s="10">
        <v>42982</v>
      </c>
      <c r="K155" s="8" t="s">
        <v>559</v>
      </c>
      <c r="L155" s="8">
        <v>128.57999999999998</v>
      </c>
      <c r="M155" s="11"/>
      <c r="N155" s="11"/>
      <c r="O155" s="11"/>
      <c r="P155" s="11" t="str">
        <f t="shared" si="2"/>
        <v/>
      </c>
    </row>
    <row r="156" spans="1:16" outlineLevel="1" x14ac:dyDescent="0.3">
      <c r="A156" s="4" t="s">
        <v>140</v>
      </c>
      <c r="B156" s="5" t="s">
        <v>827</v>
      </c>
      <c r="C156" s="5" t="s">
        <v>828</v>
      </c>
      <c r="D156" s="5" t="s">
        <v>829</v>
      </c>
      <c r="E156" s="5" t="s">
        <v>830</v>
      </c>
      <c r="F156" s="5" t="s">
        <v>831</v>
      </c>
      <c r="G156" s="5" t="s">
        <v>832</v>
      </c>
      <c r="H156" s="4" t="s">
        <v>141</v>
      </c>
      <c r="I156" s="4" t="s">
        <v>42</v>
      </c>
      <c r="J156" s="6">
        <v>42954</v>
      </c>
      <c r="K156" s="4" t="s">
        <v>561</v>
      </c>
      <c r="L156" s="4">
        <v>373.16999999999996</v>
      </c>
      <c r="M156" s="7"/>
      <c r="N156" s="7"/>
      <c r="O156" s="7"/>
      <c r="P156" s="7" t="str">
        <f t="shared" si="2"/>
        <v/>
      </c>
    </row>
    <row r="157" spans="1:16" outlineLevel="1" x14ac:dyDescent="0.3">
      <c r="A157" s="8" t="s">
        <v>323</v>
      </c>
      <c r="B157" s="9" t="str">
        <f>VLOOKUP($H2,'Required Budget Information'!$D$2:$O$104,5,FALSE)</f>
        <v>Amitai Max Samuels</v>
      </c>
      <c r="C157" s="9" t="str">
        <f>VLOOKUP($H2,'Required Budget Information'!$D$2:$O$104,6,FALSE)</f>
        <v>(857) 206-3338</v>
      </c>
      <c r="D157" s="9" t="str">
        <f>VLOOKUP($H2,'Required Budget Information'!$D$2:$O$104,7,FALSE)</f>
        <v>maxsam@terpmail.umd.edu</v>
      </c>
      <c r="E157" s="9" t="str">
        <f>VLOOKUP($H2,'Required Budget Information'!$D$2:$O$104,8,FALSE)</f>
        <v>Jannah Laserson</v>
      </c>
      <c r="F157" s="9" t="str">
        <f>VLOOKUP($H2,'Required Budget Information'!$D$2:$O$104,9,FALSE)</f>
        <v>(216) 849-3384</v>
      </c>
      <c r="G157" s="9" t="str">
        <f>VLOOKUP($H2,'Required Budget Information'!$D$2:$O$104,10,FALSE)</f>
        <v>lasersonj@gmail.com</v>
      </c>
      <c r="H157" s="8" t="s">
        <v>320</v>
      </c>
      <c r="I157" s="8" t="s">
        <v>324</v>
      </c>
      <c r="J157" s="10">
        <f>VLOOKUP($H2,'Required Budget Information'!$D$2:$O$104,12,FALSE)</f>
        <v>42988</v>
      </c>
      <c r="K157" s="8" t="s">
        <v>591</v>
      </c>
      <c r="L157" s="8">
        <v>250</v>
      </c>
      <c r="M157" s="11"/>
      <c r="N157" s="11"/>
      <c r="O157" s="11"/>
      <c r="P157" s="11" t="str">
        <f t="shared" si="2"/>
        <v/>
      </c>
    </row>
    <row r="158" spans="1:16" outlineLevel="1" x14ac:dyDescent="0.3">
      <c r="A158" s="4" t="s">
        <v>319</v>
      </c>
      <c r="B158" s="5" t="s">
        <v>1019</v>
      </c>
      <c r="C158" s="5" t="s">
        <v>1020</v>
      </c>
      <c r="D158" s="5" t="s">
        <v>1021</v>
      </c>
      <c r="E158" s="5" t="s">
        <v>1022</v>
      </c>
      <c r="F158" s="5" t="s">
        <v>1023</v>
      </c>
      <c r="G158" s="5" t="s">
        <v>1024</v>
      </c>
      <c r="H158" s="4" t="s">
        <v>320</v>
      </c>
      <c r="I158" s="4" t="s">
        <v>321</v>
      </c>
      <c r="J158" s="6">
        <v>42961</v>
      </c>
      <c r="K158" s="4" t="s">
        <v>550</v>
      </c>
      <c r="L158" s="4">
        <v>711</v>
      </c>
      <c r="M158" s="7"/>
      <c r="N158" s="7"/>
      <c r="O158" s="7"/>
      <c r="P158" s="7" t="str">
        <f t="shared" si="2"/>
        <v/>
      </c>
    </row>
    <row r="159" spans="1:16" outlineLevel="1" x14ac:dyDescent="0.3">
      <c r="A159" s="8" t="s">
        <v>316</v>
      </c>
      <c r="B159" s="9" t="s">
        <v>883</v>
      </c>
      <c r="C159" s="9" t="s">
        <v>884</v>
      </c>
      <c r="D159" s="9" t="s">
        <v>885</v>
      </c>
      <c r="E159" s="9" t="s">
        <v>886</v>
      </c>
      <c r="F159" s="9" t="s">
        <v>887</v>
      </c>
      <c r="G159" s="9" t="s">
        <v>888</v>
      </c>
      <c r="H159" s="8" t="s">
        <v>301</v>
      </c>
      <c r="I159" s="8" t="s">
        <v>317</v>
      </c>
      <c r="J159" s="10">
        <v>43000</v>
      </c>
      <c r="K159" s="8" t="s">
        <v>572</v>
      </c>
      <c r="L159" s="8">
        <v>594</v>
      </c>
      <c r="M159" s="11"/>
      <c r="N159" s="11"/>
      <c r="O159" s="11"/>
      <c r="P159" s="11" t="str">
        <f t="shared" si="2"/>
        <v/>
      </c>
    </row>
    <row r="160" spans="1:16" outlineLevel="1" x14ac:dyDescent="0.3">
      <c r="A160" s="4" t="s">
        <v>304</v>
      </c>
      <c r="B160" s="5" t="s">
        <v>883</v>
      </c>
      <c r="C160" s="5" t="s">
        <v>884</v>
      </c>
      <c r="D160" s="5" t="s">
        <v>885</v>
      </c>
      <c r="E160" s="5" t="s">
        <v>886</v>
      </c>
      <c r="F160" s="5" t="s">
        <v>887</v>
      </c>
      <c r="G160" s="5" t="s">
        <v>888</v>
      </c>
      <c r="H160" s="4" t="s">
        <v>301</v>
      </c>
      <c r="I160" s="4" t="s">
        <v>305</v>
      </c>
      <c r="J160" s="6">
        <v>43043</v>
      </c>
      <c r="K160" s="4" t="s">
        <v>572</v>
      </c>
      <c r="L160" s="4">
        <v>667.2</v>
      </c>
      <c r="M160" s="7"/>
      <c r="N160" s="7"/>
      <c r="O160" s="7"/>
      <c r="P160" s="7" t="str">
        <f t="shared" si="2"/>
        <v/>
      </c>
    </row>
    <row r="161" spans="1:16" outlineLevel="1" x14ac:dyDescent="0.3">
      <c r="A161" s="8" t="s">
        <v>300</v>
      </c>
      <c r="B161" s="9" t="s">
        <v>883</v>
      </c>
      <c r="C161" s="9" t="s">
        <v>884</v>
      </c>
      <c r="D161" s="9" t="s">
        <v>885</v>
      </c>
      <c r="E161" s="9" t="s">
        <v>886</v>
      </c>
      <c r="F161" s="9" t="s">
        <v>887</v>
      </c>
      <c r="G161" s="9" t="s">
        <v>888</v>
      </c>
      <c r="H161" s="8" t="s">
        <v>301</v>
      </c>
      <c r="I161" s="8" t="s">
        <v>302</v>
      </c>
      <c r="J161" s="10">
        <v>43004</v>
      </c>
      <c r="K161" s="8" t="s">
        <v>550</v>
      </c>
      <c r="L161" s="8">
        <v>360</v>
      </c>
      <c r="M161" s="11"/>
      <c r="N161" s="11"/>
      <c r="O161" s="11"/>
      <c r="P161" s="11" t="str">
        <f t="shared" si="2"/>
        <v/>
      </c>
    </row>
    <row r="162" spans="1:16" outlineLevel="1" x14ac:dyDescent="0.3">
      <c r="A162" s="4" t="s">
        <v>272</v>
      </c>
      <c r="B162" s="5" t="str">
        <f>VLOOKUP($H2,'Required Budget Information'!$D$2:$O$104,5,FALSE)</f>
        <v>Amitai Max Samuels</v>
      </c>
      <c r="C162" s="5" t="str">
        <f>VLOOKUP($H2,'Required Budget Information'!$D$2:$O$104,6,FALSE)</f>
        <v>(857) 206-3338</v>
      </c>
      <c r="D162" s="5" t="str">
        <f>VLOOKUP($H2,'Required Budget Information'!$D$2:$O$104,7,FALSE)</f>
        <v>maxsam@terpmail.umd.edu</v>
      </c>
      <c r="E162" s="5" t="str">
        <f>VLOOKUP($H2,'Required Budget Information'!$D$2:$O$104,8,FALSE)</f>
        <v>Jannah Laserson</v>
      </c>
      <c r="F162" s="5" t="str">
        <f>VLOOKUP($H2,'Required Budget Information'!$D$2:$O$104,9,FALSE)</f>
        <v>(216) 849-3384</v>
      </c>
      <c r="G162" s="5" t="str">
        <f>VLOOKUP($H2,'Required Budget Information'!$D$2:$O$104,10,FALSE)</f>
        <v>lasersonj@gmail.com</v>
      </c>
      <c r="H162" s="4" t="s">
        <v>273</v>
      </c>
      <c r="I162" s="4" t="s">
        <v>274</v>
      </c>
      <c r="J162" s="6">
        <f>VLOOKUP($H2,'Required Budget Information'!$D$2:$O$104,12,FALSE)</f>
        <v>42988</v>
      </c>
      <c r="K162" s="4" t="s">
        <v>556</v>
      </c>
      <c r="L162" s="4">
        <v>60</v>
      </c>
      <c r="M162" s="7"/>
      <c r="N162" s="7"/>
      <c r="O162" s="7"/>
      <c r="P162" s="7" t="str">
        <f t="shared" si="2"/>
        <v/>
      </c>
    </row>
    <row r="163" spans="1:16" outlineLevel="1" x14ac:dyDescent="0.3">
      <c r="A163" s="8" t="s">
        <v>268</v>
      </c>
      <c r="B163" s="9" t="s">
        <v>1032</v>
      </c>
      <c r="C163" s="9" t="s">
        <v>1033</v>
      </c>
      <c r="D163" s="9" t="s">
        <v>1034</v>
      </c>
      <c r="E163" s="9" t="s">
        <v>1035</v>
      </c>
      <c r="F163" s="9" t="s">
        <v>1036</v>
      </c>
      <c r="G163" s="9" t="s">
        <v>1037</v>
      </c>
      <c r="H163" s="8" t="s">
        <v>269</v>
      </c>
      <c r="I163" s="8" t="s">
        <v>270</v>
      </c>
      <c r="J163" s="10">
        <v>43022</v>
      </c>
      <c r="K163" s="8" t="s">
        <v>566</v>
      </c>
      <c r="L163" s="8">
        <v>2000</v>
      </c>
      <c r="M163" s="11"/>
      <c r="N163" s="11"/>
      <c r="O163" s="11"/>
      <c r="P163" s="11" t="str">
        <f t="shared" si="2"/>
        <v/>
      </c>
    </row>
    <row r="164" spans="1:16" outlineLevel="1" x14ac:dyDescent="0.3">
      <c r="A164" s="4" t="s">
        <v>289</v>
      </c>
      <c r="B164" s="5" t="s">
        <v>1041</v>
      </c>
      <c r="C164" s="5" t="s">
        <v>1042</v>
      </c>
      <c r="D164" s="5" t="s">
        <v>1043</v>
      </c>
      <c r="E164" s="5" t="s">
        <v>1044</v>
      </c>
      <c r="F164" s="5" t="s">
        <v>1045</v>
      </c>
      <c r="G164" s="5" t="s">
        <v>1046</v>
      </c>
      <c r="H164" s="4" t="s">
        <v>290</v>
      </c>
      <c r="I164" s="4" t="s">
        <v>291</v>
      </c>
      <c r="J164" s="6">
        <v>42979</v>
      </c>
      <c r="K164" s="4" t="s">
        <v>552</v>
      </c>
      <c r="L164" s="4">
        <v>7600</v>
      </c>
      <c r="M164" s="7"/>
      <c r="N164" s="7"/>
      <c r="O164" s="7"/>
      <c r="P164" s="7" t="str">
        <f t="shared" si="2"/>
        <v/>
      </c>
    </row>
    <row r="165" spans="1:16" outlineLevel="1" x14ac:dyDescent="0.3">
      <c r="A165" s="8" t="s">
        <v>289</v>
      </c>
      <c r="B165" s="9" t="s">
        <v>1041</v>
      </c>
      <c r="C165" s="9" t="s">
        <v>1042</v>
      </c>
      <c r="D165" s="9" t="s">
        <v>1043</v>
      </c>
      <c r="E165" s="9" t="s">
        <v>1044</v>
      </c>
      <c r="F165" s="9" t="s">
        <v>1045</v>
      </c>
      <c r="G165" s="9" t="s">
        <v>1046</v>
      </c>
      <c r="H165" s="8" t="s">
        <v>290</v>
      </c>
      <c r="I165" s="8" t="s">
        <v>291</v>
      </c>
      <c r="J165" s="10">
        <v>42979</v>
      </c>
      <c r="K165" s="8" t="s">
        <v>550</v>
      </c>
      <c r="L165" s="8">
        <v>410</v>
      </c>
      <c r="M165" s="11"/>
      <c r="N165" s="11"/>
      <c r="O165" s="11"/>
      <c r="P165" s="11" t="str">
        <f t="shared" si="2"/>
        <v/>
      </c>
    </row>
    <row r="166" spans="1:16" outlineLevel="1" x14ac:dyDescent="0.3">
      <c r="A166" s="4" t="s">
        <v>234</v>
      </c>
      <c r="B166" s="5" t="s">
        <v>975</v>
      </c>
      <c r="C166" s="5" t="s">
        <v>976</v>
      </c>
      <c r="D166" s="5" t="s">
        <v>977</v>
      </c>
      <c r="E166" s="5" t="s">
        <v>978</v>
      </c>
      <c r="F166" s="5" t="s">
        <v>979</v>
      </c>
      <c r="G166" s="5" t="s">
        <v>980</v>
      </c>
      <c r="H166" s="4" t="s">
        <v>235</v>
      </c>
      <c r="I166" s="4" t="s">
        <v>236</v>
      </c>
      <c r="J166" s="6">
        <v>43055</v>
      </c>
      <c r="K166" s="4" t="s">
        <v>550</v>
      </c>
      <c r="L166" s="4">
        <v>2010</v>
      </c>
      <c r="M166" s="7"/>
      <c r="N166" s="7"/>
      <c r="O166" s="7"/>
      <c r="P166" s="7" t="str">
        <f t="shared" si="2"/>
        <v/>
      </c>
    </row>
    <row r="167" spans="1:16" outlineLevel="1" x14ac:dyDescent="0.3">
      <c r="A167" s="8" t="s">
        <v>276</v>
      </c>
      <c r="B167" s="9" t="str">
        <f>VLOOKUP($H2,'Required Budget Information'!$D$2:$O$104,5,FALSE)</f>
        <v>Amitai Max Samuels</v>
      </c>
      <c r="C167" s="9" t="str">
        <f>VLOOKUP($H2,'Required Budget Information'!$D$2:$O$104,6,FALSE)</f>
        <v>(857) 206-3338</v>
      </c>
      <c r="D167" s="9" t="str">
        <f>VLOOKUP($H2,'Required Budget Information'!$D$2:$O$104,7,FALSE)</f>
        <v>maxsam@terpmail.umd.edu</v>
      </c>
      <c r="E167" s="9" t="str">
        <f>VLOOKUP($H2,'Required Budget Information'!$D$2:$O$104,8,FALSE)</f>
        <v>Jannah Laserson</v>
      </c>
      <c r="F167" s="9" t="str">
        <f>VLOOKUP($H2,'Required Budget Information'!$D$2:$O$104,9,FALSE)</f>
        <v>(216) 849-3384</v>
      </c>
      <c r="G167" s="9" t="str">
        <f>VLOOKUP($H2,'Required Budget Information'!$D$2:$O$104,10,FALSE)</f>
        <v>lasersonj@gmail.com</v>
      </c>
      <c r="H167" s="8" t="s">
        <v>273</v>
      </c>
      <c r="I167" s="8" t="s">
        <v>277</v>
      </c>
      <c r="J167" s="10">
        <f>VLOOKUP($H2,'Required Budget Information'!$D$2:$O$104,12,FALSE)</f>
        <v>42988</v>
      </c>
      <c r="K167" s="8" t="s">
        <v>561</v>
      </c>
      <c r="L167" s="8">
        <v>43.98</v>
      </c>
      <c r="M167" s="11"/>
      <c r="N167" s="11"/>
      <c r="O167" s="11"/>
      <c r="P167" s="11" t="str">
        <f t="shared" si="2"/>
        <v/>
      </c>
    </row>
    <row r="168" spans="1:16" outlineLevel="1" x14ac:dyDescent="0.3">
      <c r="A168" s="4" t="s">
        <v>200</v>
      </c>
      <c r="B168" s="5" t="s">
        <v>1049</v>
      </c>
      <c r="C168" s="5" t="s">
        <v>1050</v>
      </c>
      <c r="D168" s="5" t="s">
        <v>1051</v>
      </c>
      <c r="E168" s="5" t="s">
        <v>1052</v>
      </c>
      <c r="F168" s="5" t="s">
        <v>1053</v>
      </c>
      <c r="G168" s="5" t="s">
        <v>1054</v>
      </c>
      <c r="H168" s="4" t="s">
        <v>197</v>
      </c>
      <c r="I168" s="4" t="s">
        <v>201</v>
      </c>
      <c r="J168" s="6">
        <v>42917</v>
      </c>
      <c r="K168" s="4" t="s">
        <v>550</v>
      </c>
      <c r="L168" s="4">
        <v>1955</v>
      </c>
      <c r="M168" s="7"/>
      <c r="N168" s="7"/>
      <c r="O168" s="7"/>
      <c r="P168" s="7" t="str">
        <f t="shared" si="2"/>
        <v/>
      </c>
    </row>
    <row r="169" spans="1:16" outlineLevel="1" x14ac:dyDescent="0.3">
      <c r="A169" s="8" t="s">
        <v>265</v>
      </c>
      <c r="B169" s="9" t="s">
        <v>1056</v>
      </c>
      <c r="C169" s="9" t="s">
        <v>1057</v>
      </c>
      <c r="D169" s="9" t="s">
        <v>1058</v>
      </c>
      <c r="E169" s="9" t="s">
        <v>1059</v>
      </c>
      <c r="F169" s="9" t="s">
        <v>1060</v>
      </c>
      <c r="G169" s="9" t="s">
        <v>1061</v>
      </c>
      <c r="H169" s="8" t="s">
        <v>247</v>
      </c>
      <c r="I169" s="8" t="s">
        <v>266</v>
      </c>
      <c r="J169" s="10">
        <v>42931</v>
      </c>
      <c r="K169" s="8" t="s">
        <v>580</v>
      </c>
      <c r="L169" s="8">
        <v>4340</v>
      </c>
      <c r="M169" s="11"/>
      <c r="N169" s="11"/>
      <c r="O169" s="11"/>
      <c r="P169" s="11" t="str">
        <f t="shared" si="2"/>
        <v/>
      </c>
    </row>
    <row r="170" spans="1:16" outlineLevel="1" x14ac:dyDescent="0.3">
      <c r="A170" s="4" t="s">
        <v>196</v>
      </c>
      <c r="B170" s="5" t="s">
        <v>1049</v>
      </c>
      <c r="C170" s="5" t="s">
        <v>1050</v>
      </c>
      <c r="D170" s="5" t="s">
        <v>1051</v>
      </c>
      <c r="E170" s="5" t="s">
        <v>1052</v>
      </c>
      <c r="F170" s="5" t="s">
        <v>1053</v>
      </c>
      <c r="G170" s="5" t="s">
        <v>1054</v>
      </c>
      <c r="H170" s="4" t="s">
        <v>197</v>
      </c>
      <c r="I170" s="4" t="s">
        <v>198</v>
      </c>
      <c r="J170" s="6">
        <v>43000</v>
      </c>
      <c r="K170" s="4" t="s">
        <v>572</v>
      </c>
      <c r="L170" s="4">
        <v>321</v>
      </c>
      <c r="M170" s="7"/>
      <c r="N170" s="7"/>
      <c r="O170" s="7"/>
      <c r="P170" s="7" t="str">
        <f t="shared" si="2"/>
        <v/>
      </c>
    </row>
    <row r="171" spans="1:16" outlineLevel="1" x14ac:dyDescent="0.3">
      <c r="A171" s="8" t="s">
        <v>246</v>
      </c>
      <c r="B171" s="9" t="str">
        <f>VLOOKUP($H2,'Required Budget Information'!$D$2:$O$104,5,FALSE)</f>
        <v>Amitai Max Samuels</v>
      </c>
      <c r="C171" s="9" t="str">
        <f>VLOOKUP($H2,'Required Budget Information'!$D$2:$O$104,6,FALSE)</f>
        <v>(857) 206-3338</v>
      </c>
      <c r="D171" s="9" t="str">
        <f>VLOOKUP($H2,'Required Budget Information'!$D$2:$O$104,7,FALSE)</f>
        <v>maxsam@terpmail.umd.edu</v>
      </c>
      <c r="E171" s="9" t="str">
        <f>VLOOKUP($H2,'Required Budget Information'!$D$2:$O$104,8,FALSE)</f>
        <v>Jannah Laserson</v>
      </c>
      <c r="F171" s="9" t="str">
        <f>VLOOKUP($H2,'Required Budget Information'!$D$2:$O$104,9,FALSE)</f>
        <v>(216) 849-3384</v>
      </c>
      <c r="G171" s="9" t="str">
        <f>VLOOKUP($H2,'Required Budget Information'!$D$2:$O$104,10,FALSE)</f>
        <v>lasersonj@gmail.com</v>
      </c>
      <c r="H171" s="8" t="s">
        <v>247</v>
      </c>
      <c r="I171" s="8" t="s">
        <v>248</v>
      </c>
      <c r="J171" s="10">
        <f>VLOOKUP($H2,'Required Budget Information'!$D$2:$O$104,12,FALSE)</f>
        <v>42988</v>
      </c>
      <c r="K171" s="8" t="s">
        <v>566</v>
      </c>
      <c r="L171" s="8">
        <v>50</v>
      </c>
      <c r="M171" s="11"/>
      <c r="N171" s="11"/>
      <c r="O171" s="11"/>
      <c r="P171" s="11" t="str">
        <f t="shared" si="2"/>
        <v/>
      </c>
    </row>
    <row r="172" spans="1:16" outlineLevel="1" x14ac:dyDescent="0.3">
      <c r="A172" s="4" t="s">
        <v>158</v>
      </c>
      <c r="B172" s="5" t="s">
        <v>1065</v>
      </c>
      <c r="C172" s="5" t="s">
        <v>1066</v>
      </c>
      <c r="D172" s="5" t="s">
        <v>1067</v>
      </c>
      <c r="E172" s="5" t="s">
        <v>1068</v>
      </c>
      <c r="F172" s="5" t="s">
        <v>1069</v>
      </c>
      <c r="G172" s="5" t="s">
        <v>1070</v>
      </c>
      <c r="H172" s="4" t="s">
        <v>144</v>
      </c>
      <c r="I172" s="4" t="s">
        <v>159</v>
      </c>
      <c r="J172" s="6">
        <v>42917</v>
      </c>
      <c r="K172" s="4" t="s">
        <v>550</v>
      </c>
      <c r="L172" s="4">
        <v>42.5</v>
      </c>
      <c r="M172" s="7"/>
      <c r="N172" s="7"/>
      <c r="O172" s="7"/>
      <c r="P172" s="7" t="str">
        <f t="shared" si="2"/>
        <v/>
      </c>
    </row>
    <row r="173" spans="1:16" outlineLevel="1" x14ac:dyDescent="0.3">
      <c r="A173" s="8" t="s">
        <v>158</v>
      </c>
      <c r="B173" s="9" t="s">
        <v>1065</v>
      </c>
      <c r="C173" s="9" t="s">
        <v>1066</v>
      </c>
      <c r="D173" s="9" t="s">
        <v>1067</v>
      </c>
      <c r="E173" s="9" t="s">
        <v>1068</v>
      </c>
      <c r="F173" s="9" t="s">
        <v>1069</v>
      </c>
      <c r="G173" s="9" t="s">
        <v>1070</v>
      </c>
      <c r="H173" s="8" t="s">
        <v>144</v>
      </c>
      <c r="I173" s="8" t="s">
        <v>159</v>
      </c>
      <c r="J173" s="10">
        <v>42917</v>
      </c>
      <c r="K173" s="8" t="s">
        <v>552</v>
      </c>
      <c r="L173" s="8">
        <v>85</v>
      </c>
      <c r="M173" s="11"/>
      <c r="N173" s="11"/>
      <c r="O173" s="11"/>
      <c r="P173" s="11" t="str">
        <f t="shared" si="2"/>
        <v/>
      </c>
    </row>
    <row r="174" spans="1:16" outlineLevel="1" x14ac:dyDescent="0.3">
      <c r="A174" s="4" t="s">
        <v>230</v>
      </c>
      <c r="B174" s="5" t="s">
        <v>1072</v>
      </c>
      <c r="C174" s="5" t="s">
        <v>1073</v>
      </c>
      <c r="D174" s="5" t="s">
        <v>1074</v>
      </c>
      <c r="E174" s="5" t="s">
        <v>1075</v>
      </c>
      <c r="F174" s="5" t="s">
        <v>1076</v>
      </c>
      <c r="G174" s="5" t="s">
        <v>1077</v>
      </c>
      <c r="H174" s="4" t="s">
        <v>231</v>
      </c>
      <c r="I174" s="4" t="s">
        <v>232</v>
      </c>
      <c r="J174" s="6">
        <v>42979</v>
      </c>
      <c r="K174" s="4" t="s">
        <v>570</v>
      </c>
      <c r="L174" s="4">
        <v>305.98</v>
      </c>
      <c r="M174" s="7"/>
      <c r="N174" s="7"/>
      <c r="O174" s="7"/>
      <c r="P174" s="7" t="str">
        <f t="shared" si="2"/>
        <v/>
      </c>
    </row>
    <row r="175" spans="1:16" outlineLevel="1" x14ac:dyDescent="0.3">
      <c r="A175" s="8" t="s">
        <v>230</v>
      </c>
      <c r="B175" s="9" t="s">
        <v>1072</v>
      </c>
      <c r="C175" s="9" t="s">
        <v>1073</v>
      </c>
      <c r="D175" s="9" t="s">
        <v>1074</v>
      </c>
      <c r="E175" s="9" t="s">
        <v>1075</v>
      </c>
      <c r="F175" s="9" t="s">
        <v>1076</v>
      </c>
      <c r="G175" s="9" t="s">
        <v>1077</v>
      </c>
      <c r="H175" s="8" t="s">
        <v>231</v>
      </c>
      <c r="I175" s="8" t="s">
        <v>232</v>
      </c>
      <c r="J175" s="10">
        <v>42979</v>
      </c>
      <c r="K175" s="8" t="s">
        <v>561</v>
      </c>
      <c r="L175" s="8">
        <v>109.54</v>
      </c>
      <c r="M175" s="11"/>
      <c r="N175" s="11"/>
      <c r="O175" s="11"/>
      <c r="P175" s="11" t="str">
        <f t="shared" si="2"/>
        <v/>
      </c>
    </row>
    <row r="176" spans="1:16" outlineLevel="1" x14ac:dyDescent="0.3">
      <c r="A176" s="4" t="s">
        <v>220</v>
      </c>
      <c r="B176" s="5" t="str">
        <f>VLOOKUP($H2,'Required Budget Information'!$D$2:$O$104,5,FALSE)</f>
        <v>Amitai Max Samuels</v>
      </c>
      <c r="C176" s="5" t="str">
        <f>VLOOKUP($H2,'Required Budget Information'!$D$2:$O$104,6,FALSE)</f>
        <v>(857) 206-3338</v>
      </c>
      <c r="D176" s="5" t="str">
        <f>VLOOKUP($H2,'Required Budget Information'!$D$2:$O$104,7,FALSE)</f>
        <v>maxsam@terpmail.umd.edu</v>
      </c>
      <c r="E176" s="5" t="str">
        <f>VLOOKUP($H2,'Required Budget Information'!$D$2:$O$104,8,FALSE)</f>
        <v>Jannah Laserson</v>
      </c>
      <c r="F176" s="5" t="str">
        <f>VLOOKUP($H2,'Required Budget Information'!$D$2:$O$104,9,FALSE)</f>
        <v>(216) 849-3384</v>
      </c>
      <c r="G176" s="5" t="str">
        <f>VLOOKUP($H2,'Required Budget Information'!$D$2:$O$104,10,FALSE)</f>
        <v>lasersonj@gmail.com</v>
      </c>
      <c r="H176" s="4" t="s">
        <v>162</v>
      </c>
      <c r="I176" s="4" t="s">
        <v>215</v>
      </c>
      <c r="J176" s="6">
        <f>VLOOKUP($H2,'Required Budget Information'!$D$2:$O$104,12,FALSE)</f>
        <v>42988</v>
      </c>
      <c r="K176" s="4" t="s">
        <v>554</v>
      </c>
      <c r="L176" s="4">
        <v>1500</v>
      </c>
      <c r="M176" s="7"/>
      <c r="N176" s="7"/>
      <c r="O176" s="7"/>
      <c r="P176" s="7" t="str">
        <f t="shared" si="2"/>
        <v/>
      </c>
    </row>
    <row r="177" spans="1:16" outlineLevel="1" x14ac:dyDescent="0.3">
      <c r="A177" s="8" t="s">
        <v>203</v>
      </c>
      <c r="B177" s="9" t="str">
        <f>VLOOKUP($H2,'Required Budget Information'!$D$2:$O$104,5,FALSE)</f>
        <v>Amitai Max Samuels</v>
      </c>
      <c r="C177" s="9" t="str">
        <f>VLOOKUP($H2,'Required Budget Information'!$D$2:$O$104,6,FALSE)</f>
        <v>(857) 206-3338</v>
      </c>
      <c r="D177" s="9" t="str">
        <f>VLOOKUP($H2,'Required Budget Information'!$D$2:$O$104,7,FALSE)</f>
        <v>maxsam@terpmail.umd.edu</v>
      </c>
      <c r="E177" s="9" t="str">
        <f>VLOOKUP($H2,'Required Budget Information'!$D$2:$O$104,8,FALSE)</f>
        <v>Jannah Laserson</v>
      </c>
      <c r="F177" s="9" t="str">
        <f>VLOOKUP($H2,'Required Budget Information'!$D$2:$O$104,9,FALSE)</f>
        <v>(216) 849-3384</v>
      </c>
      <c r="G177" s="9" t="str">
        <f>VLOOKUP($H2,'Required Budget Information'!$D$2:$O$104,10,FALSE)</f>
        <v>lasersonj@gmail.com</v>
      </c>
      <c r="H177" s="8" t="s">
        <v>204</v>
      </c>
      <c r="I177" s="8" t="s">
        <v>205</v>
      </c>
      <c r="J177" s="10">
        <f>VLOOKUP($H2,'Required Budget Information'!$D$2:$O$104,12,FALSE)</f>
        <v>42988</v>
      </c>
      <c r="K177" s="8" t="s">
        <v>561</v>
      </c>
      <c r="L177" s="8">
        <v>1037.5</v>
      </c>
      <c r="M177" s="11"/>
      <c r="N177" s="11"/>
      <c r="O177" s="11"/>
      <c r="P177" s="11" t="str">
        <f t="shared" si="2"/>
        <v/>
      </c>
    </row>
    <row r="178" spans="1:16" outlineLevel="1" x14ac:dyDescent="0.3">
      <c r="A178" s="4" t="s">
        <v>203</v>
      </c>
      <c r="B178" s="5" t="str">
        <f>VLOOKUP($H2,'Required Budget Information'!$D$2:$O$104,5,FALSE)</f>
        <v>Amitai Max Samuels</v>
      </c>
      <c r="C178" s="5" t="str">
        <f>VLOOKUP($H2,'Required Budget Information'!$D$2:$O$104,6,FALSE)</f>
        <v>(857) 206-3338</v>
      </c>
      <c r="D178" s="5" t="str">
        <f>VLOOKUP($H2,'Required Budget Information'!$D$2:$O$104,7,FALSE)</f>
        <v>maxsam@terpmail.umd.edu</v>
      </c>
      <c r="E178" s="5" t="str">
        <f>VLOOKUP($H2,'Required Budget Information'!$D$2:$O$104,8,FALSE)</f>
        <v>Jannah Laserson</v>
      </c>
      <c r="F178" s="5" t="str">
        <f>VLOOKUP($H2,'Required Budget Information'!$D$2:$O$104,9,FALSE)</f>
        <v>(216) 849-3384</v>
      </c>
      <c r="G178" s="5" t="str">
        <f>VLOOKUP($H2,'Required Budget Information'!$D$2:$O$104,10,FALSE)</f>
        <v>lasersonj@gmail.com</v>
      </c>
      <c r="H178" s="4" t="s">
        <v>204</v>
      </c>
      <c r="I178" s="4" t="s">
        <v>205</v>
      </c>
      <c r="J178" s="6">
        <f>VLOOKUP($H2,'Required Budget Information'!$D$2:$O$104,12,FALSE)</f>
        <v>42988</v>
      </c>
      <c r="K178" s="4" t="s">
        <v>561</v>
      </c>
      <c r="L178" s="4">
        <v>13.6</v>
      </c>
      <c r="M178" s="7"/>
      <c r="N178" s="7"/>
      <c r="O178" s="7"/>
      <c r="P178" s="7" t="str">
        <f t="shared" si="2"/>
        <v/>
      </c>
    </row>
    <row r="179" spans="1:16" outlineLevel="1" x14ac:dyDescent="0.3">
      <c r="A179" s="8" t="s">
        <v>143</v>
      </c>
      <c r="B179" s="9" t="str">
        <f>VLOOKUP($H2,'Required Budget Information'!$D$2:$O$104,5,FALSE)</f>
        <v>Amitai Max Samuels</v>
      </c>
      <c r="C179" s="9" t="str">
        <f>VLOOKUP($H2,'Required Budget Information'!$D$2:$O$104,6,FALSE)</f>
        <v>(857) 206-3338</v>
      </c>
      <c r="D179" s="9" t="str">
        <f>VLOOKUP($H2,'Required Budget Information'!$D$2:$O$104,7,FALSE)</f>
        <v>maxsam@terpmail.umd.edu</v>
      </c>
      <c r="E179" s="9" t="str">
        <f>VLOOKUP($H2,'Required Budget Information'!$D$2:$O$104,8,FALSE)</f>
        <v>Jannah Laserson</v>
      </c>
      <c r="F179" s="9" t="str">
        <f>VLOOKUP($H2,'Required Budget Information'!$D$2:$O$104,9,FALSE)</f>
        <v>(216) 849-3384</v>
      </c>
      <c r="G179" s="9" t="str">
        <f>VLOOKUP($H2,'Required Budget Information'!$D$2:$O$104,10,FALSE)</f>
        <v>lasersonj@gmail.com</v>
      </c>
      <c r="H179" s="8" t="s">
        <v>144</v>
      </c>
      <c r="I179" s="8" t="s">
        <v>42</v>
      </c>
      <c r="J179" s="10">
        <f>VLOOKUP($H2,'Required Budget Information'!$D$2:$O$104,12,FALSE)</f>
        <v>42988</v>
      </c>
      <c r="K179" s="8" t="s">
        <v>570</v>
      </c>
      <c r="L179" s="8">
        <v>125.31</v>
      </c>
      <c r="M179" s="11"/>
      <c r="N179" s="11"/>
      <c r="O179" s="11"/>
      <c r="P179" s="11" t="str">
        <f t="shared" si="2"/>
        <v/>
      </c>
    </row>
    <row r="180" spans="1:16" outlineLevel="1" x14ac:dyDescent="0.3">
      <c r="A180" s="4" t="s">
        <v>217</v>
      </c>
      <c r="B180" s="5" t="str">
        <f>VLOOKUP($H2,'Required Budget Information'!$D$2:$O$104,5,FALSE)</f>
        <v>Amitai Max Samuels</v>
      </c>
      <c r="C180" s="5" t="str">
        <f>VLOOKUP($H2,'Required Budget Information'!$D$2:$O$104,6,FALSE)</f>
        <v>(857) 206-3338</v>
      </c>
      <c r="D180" s="5" t="str">
        <f>VLOOKUP($H2,'Required Budget Information'!$D$2:$O$104,7,FALSE)</f>
        <v>maxsam@terpmail.umd.edu</v>
      </c>
      <c r="E180" s="5" t="str">
        <f>VLOOKUP($H2,'Required Budget Information'!$D$2:$O$104,8,FALSE)</f>
        <v>Jannah Laserson</v>
      </c>
      <c r="F180" s="5" t="str">
        <f>VLOOKUP($H2,'Required Budget Information'!$D$2:$O$104,9,FALSE)</f>
        <v>(216) 849-3384</v>
      </c>
      <c r="G180" s="5" t="str">
        <f>VLOOKUP($H2,'Required Budget Information'!$D$2:$O$104,10,FALSE)</f>
        <v>lasersonj@gmail.com</v>
      </c>
      <c r="H180" s="4" t="s">
        <v>218</v>
      </c>
      <c r="I180" s="4" t="s">
        <v>218</v>
      </c>
      <c r="J180" s="6">
        <f>VLOOKUP($H2,'Required Budget Information'!$D$2:$O$104,12,FALSE)</f>
        <v>42988</v>
      </c>
      <c r="K180" s="4" t="s">
        <v>98</v>
      </c>
      <c r="L180" s="4">
        <v>108.16</v>
      </c>
      <c r="M180" s="7"/>
      <c r="N180" s="7"/>
      <c r="O180" s="7"/>
      <c r="P180" s="7" t="str">
        <f t="shared" si="2"/>
        <v/>
      </c>
    </row>
    <row r="181" spans="1:16" outlineLevel="1" x14ac:dyDescent="0.3">
      <c r="A181" s="8" t="s">
        <v>86</v>
      </c>
      <c r="B181" s="9" t="s">
        <v>1079</v>
      </c>
      <c r="C181" s="9" t="s">
        <v>1080</v>
      </c>
      <c r="D181" s="9" t="s">
        <v>1081</v>
      </c>
      <c r="E181" s="9" t="s">
        <v>1082</v>
      </c>
      <c r="F181" s="9" t="s">
        <v>1083</v>
      </c>
      <c r="G181" s="9" t="s">
        <v>1084</v>
      </c>
      <c r="H181" s="8" t="s">
        <v>87</v>
      </c>
      <c r="I181" s="8" t="s">
        <v>88</v>
      </c>
      <c r="J181" s="10">
        <v>43029</v>
      </c>
      <c r="K181" s="8" t="s">
        <v>556</v>
      </c>
      <c r="L181" s="8">
        <v>2350</v>
      </c>
      <c r="M181" s="11"/>
      <c r="N181" s="11"/>
      <c r="O181" s="11"/>
      <c r="P181" s="11" t="str">
        <f t="shared" si="2"/>
        <v/>
      </c>
    </row>
    <row r="182" spans="1:16" outlineLevel="1" x14ac:dyDescent="0.3">
      <c r="A182" s="4" t="s">
        <v>86</v>
      </c>
      <c r="B182" s="5" t="s">
        <v>1079</v>
      </c>
      <c r="C182" s="5" t="s">
        <v>1080</v>
      </c>
      <c r="D182" s="5" t="s">
        <v>1081</v>
      </c>
      <c r="E182" s="5" t="s">
        <v>1082</v>
      </c>
      <c r="F182" s="5" t="s">
        <v>1083</v>
      </c>
      <c r="G182" s="5" t="s">
        <v>1084</v>
      </c>
      <c r="H182" s="4" t="s">
        <v>87</v>
      </c>
      <c r="I182" s="4" t="s">
        <v>88</v>
      </c>
      <c r="J182" s="6">
        <v>43029</v>
      </c>
      <c r="K182" s="4" t="s">
        <v>556</v>
      </c>
      <c r="L182" s="4">
        <v>550</v>
      </c>
      <c r="M182" s="7"/>
      <c r="N182" s="7"/>
      <c r="O182" s="7"/>
      <c r="P182" s="7" t="str">
        <f t="shared" si="2"/>
        <v/>
      </c>
    </row>
    <row r="183" spans="1:16" outlineLevel="1" x14ac:dyDescent="0.3">
      <c r="A183" s="8" t="s">
        <v>86</v>
      </c>
      <c r="B183" s="9" t="s">
        <v>1079</v>
      </c>
      <c r="C183" s="9" t="s">
        <v>1080</v>
      </c>
      <c r="D183" s="9" t="s">
        <v>1081</v>
      </c>
      <c r="E183" s="9" t="s">
        <v>1082</v>
      </c>
      <c r="F183" s="9" t="s">
        <v>1083</v>
      </c>
      <c r="G183" s="9" t="s">
        <v>1084</v>
      </c>
      <c r="H183" s="8" t="s">
        <v>87</v>
      </c>
      <c r="I183" s="8" t="s">
        <v>88</v>
      </c>
      <c r="J183" s="10">
        <v>43029</v>
      </c>
      <c r="K183" s="8" t="s">
        <v>550</v>
      </c>
      <c r="L183" s="8">
        <v>287</v>
      </c>
      <c r="M183" s="11"/>
      <c r="N183" s="11"/>
      <c r="O183" s="11"/>
      <c r="P183" s="11" t="str">
        <f t="shared" si="2"/>
        <v/>
      </c>
    </row>
    <row r="184" spans="1:16" outlineLevel="1" x14ac:dyDescent="0.3">
      <c r="A184" s="4" t="s">
        <v>86</v>
      </c>
      <c r="B184" s="5" t="s">
        <v>1079</v>
      </c>
      <c r="C184" s="5" t="s">
        <v>1080</v>
      </c>
      <c r="D184" s="5" t="s">
        <v>1081</v>
      </c>
      <c r="E184" s="5" t="s">
        <v>1082</v>
      </c>
      <c r="F184" s="5" t="s">
        <v>1083</v>
      </c>
      <c r="G184" s="5" t="s">
        <v>1084</v>
      </c>
      <c r="H184" s="4" t="s">
        <v>87</v>
      </c>
      <c r="I184" s="4" t="s">
        <v>88</v>
      </c>
      <c r="J184" s="6">
        <v>43029</v>
      </c>
      <c r="K184" s="4" t="s">
        <v>559</v>
      </c>
      <c r="L184" s="4">
        <v>40.5</v>
      </c>
      <c r="M184" s="7"/>
      <c r="N184" s="7"/>
      <c r="O184" s="7"/>
      <c r="P184" s="7" t="str">
        <f t="shared" si="2"/>
        <v/>
      </c>
    </row>
    <row r="185" spans="1:16" outlineLevel="1" x14ac:dyDescent="0.3">
      <c r="A185" s="8" t="s">
        <v>214</v>
      </c>
      <c r="B185" s="9" t="str">
        <f>VLOOKUP($H2,'Required Budget Information'!$D$2:$O$104,5,FALSE)</f>
        <v>Amitai Max Samuels</v>
      </c>
      <c r="C185" s="9" t="str">
        <f>VLOOKUP($H2,'Required Budget Information'!$D$2:$O$104,6,FALSE)</f>
        <v>(857) 206-3338</v>
      </c>
      <c r="D185" s="9" t="str">
        <f>VLOOKUP($H2,'Required Budget Information'!$D$2:$O$104,7,FALSE)</f>
        <v>maxsam@terpmail.umd.edu</v>
      </c>
      <c r="E185" s="9" t="str">
        <f>VLOOKUP($H2,'Required Budget Information'!$D$2:$O$104,8,FALSE)</f>
        <v>Jannah Laserson</v>
      </c>
      <c r="F185" s="9" t="str">
        <f>VLOOKUP($H2,'Required Budget Information'!$D$2:$O$104,9,FALSE)</f>
        <v>(216) 849-3384</v>
      </c>
      <c r="G185" s="9" t="str">
        <f>VLOOKUP($H2,'Required Budget Information'!$D$2:$O$104,10,FALSE)</f>
        <v>lasersonj@gmail.com</v>
      </c>
      <c r="H185" s="8" t="s">
        <v>162</v>
      </c>
      <c r="I185" s="8" t="s">
        <v>215</v>
      </c>
      <c r="J185" s="10">
        <f>VLOOKUP($H2,'Required Budget Information'!$D$2:$O$104,12,FALSE)</f>
        <v>42988</v>
      </c>
      <c r="K185" s="8" t="s">
        <v>550</v>
      </c>
      <c r="L185" s="8">
        <v>1000</v>
      </c>
      <c r="M185" s="11"/>
      <c r="N185" s="11"/>
      <c r="O185" s="11"/>
      <c r="P185" s="11" t="str">
        <f t="shared" si="2"/>
        <v/>
      </c>
    </row>
    <row r="186" spans="1:16" outlineLevel="1" x14ac:dyDescent="0.3">
      <c r="A186" s="4" t="s">
        <v>211</v>
      </c>
      <c r="B186" s="5" t="str">
        <f>VLOOKUP($H2,'Required Budget Information'!$D$2:$O$104,5,FALSE)</f>
        <v>Amitai Max Samuels</v>
      </c>
      <c r="C186" s="5" t="str">
        <f>VLOOKUP($H2,'Required Budget Information'!$D$2:$O$104,6,FALSE)</f>
        <v>(857) 206-3338</v>
      </c>
      <c r="D186" s="5" t="str">
        <f>VLOOKUP($H2,'Required Budget Information'!$D$2:$O$104,7,FALSE)</f>
        <v>maxsam@terpmail.umd.edu</v>
      </c>
      <c r="E186" s="5" t="str">
        <f>VLOOKUP($H2,'Required Budget Information'!$D$2:$O$104,8,FALSE)</f>
        <v>Jannah Laserson</v>
      </c>
      <c r="F186" s="5" t="str">
        <f>VLOOKUP($H2,'Required Budget Information'!$D$2:$O$104,9,FALSE)</f>
        <v>(216) 849-3384</v>
      </c>
      <c r="G186" s="5" t="str">
        <f>VLOOKUP($H2,'Required Budget Information'!$D$2:$O$104,10,FALSE)</f>
        <v>lasersonj@gmail.com</v>
      </c>
      <c r="H186" s="4" t="s">
        <v>162</v>
      </c>
      <c r="I186" s="4" t="s">
        <v>212</v>
      </c>
      <c r="J186" s="6">
        <f>VLOOKUP($H2,'Required Budget Information'!$D$2:$O$104,12,FALSE)</f>
        <v>42988</v>
      </c>
      <c r="K186" s="4" t="s">
        <v>580</v>
      </c>
      <c r="L186" s="4">
        <v>720</v>
      </c>
      <c r="M186" s="7"/>
      <c r="N186" s="7"/>
      <c r="O186" s="7"/>
      <c r="P186" s="7" t="str">
        <f t="shared" si="2"/>
        <v/>
      </c>
    </row>
    <row r="187" spans="1:16" outlineLevel="1" x14ac:dyDescent="0.3">
      <c r="A187" s="8" t="s">
        <v>193</v>
      </c>
      <c r="B187" s="9" t="str">
        <f>VLOOKUP($H2,'Required Budget Information'!$D$2:$O$104,5,FALSE)</f>
        <v>Amitai Max Samuels</v>
      </c>
      <c r="C187" s="9" t="str">
        <f>VLOOKUP($H2,'Required Budget Information'!$D$2:$O$104,6,FALSE)</f>
        <v>(857) 206-3338</v>
      </c>
      <c r="D187" s="9" t="str">
        <f>VLOOKUP($H2,'Required Budget Information'!$D$2:$O$104,7,FALSE)</f>
        <v>maxsam@terpmail.umd.edu</v>
      </c>
      <c r="E187" s="9" t="str">
        <f>VLOOKUP($H2,'Required Budget Information'!$D$2:$O$104,8,FALSE)</f>
        <v>Jannah Laserson</v>
      </c>
      <c r="F187" s="9" t="str">
        <f>VLOOKUP($H2,'Required Budget Information'!$D$2:$O$104,9,FALSE)</f>
        <v>(216) 849-3384</v>
      </c>
      <c r="G187" s="9" t="str">
        <f>VLOOKUP($H2,'Required Budget Information'!$D$2:$O$104,10,FALSE)</f>
        <v>lasersonj@gmail.com</v>
      </c>
      <c r="H187" s="8" t="s">
        <v>166</v>
      </c>
      <c r="I187" s="8" t="s">
        <v>194</v>
      </c>
      <c r="J187" s="10">
        <f>VLOOKUP($H2,'Required Budget Information'!$D$2:$O$104,12,FALSE)</f>
        <v>42988</v>
      </c>
      <c r="K187" s="8" t="s">
        <v>550</v>
      </c>
      <c r="L187" s="8">
        <v>750</v>
      </c>
      <c r="M187" s="11"/>
      <c r="N187" s="11"/>
      <c r="O187" s="11"/>
      <c r="P187" s="11" t="str">
        <f t="shared" si="2"/>
        <v/>
      </c>
    </row>
    <row r="188" spans="1:16" outlineLevel="1" x14ac:dyDescent="0.3">
      <c r="A188" s="4" t="s">
        <v>190</v>
      </c>
      <c r="B188" s="5" t="s">
        <v>760</v>
      </c>
      <c r="C188" s="5" t="s">
        <v>761</v>
      </c>
      <c r="D188" s="5" t="s">
        <v>762</v>
      </c>
      <c r="E188" s="5" t="s">
        <v>763</v>
      </c>
      <c r="F188" s="5" t="s">
        <v>764</v>
      </c>
      <c r="G188" s="5" t="s">
        <v>765</v>
      </c>
      <c r="H188" s="4" t="s">
        <v>173</v>
      </c>
      <c r="I188" s="4" t="s">
        <v>191</v>
      </c>
      <c r="J188" s="6">
        <v>43004</v>
      </c>
      <c r="K188" s="4" t="s">
        <v>556</v>
      </c>
      <c r="L188" s="4">
        <v>240</v>
      </c>
      <c r="M188" s="7"/>
      <c r="N188" s="7"/>
      <c r="O188" s="7"/>
      <c r="P188" s="7" t="str">
        <f t="shared" si="2"/>
        <v/>
      </c>
    </row>
    <row r="189" spans="1:16" outlineLevel="1" x14ac:dyDescent="0.3">
      <c r="A189" s="8" t="s">
        <v>187</v>
      </c>
      <c r="B189" s="9" t="str">
        <f>VLOOKUP($H2,'Required Budget Information'!$D$2:$O$104,5,FALSE)</f>
        <v>Amitai Max Samuels</v>
      </c>
      <c r="C189" s="9" t="str">
        <f>VLOOKUP($H2,'Required Budget Information'!$D$2:$O$104,6,FALSE)</f>
        <v>(857) 206-3338</v>
      </c>
      <c r="D189" s="9" t="str">
        <f>VLOOKUP($H2,'Required Budget Information'!$D$2:$O$104,7,FALSE)</f>
        <v>maxsam@terpmail.umd.edu</v>
      </c>
      <c r="E189" s="9" t="str">
        <f>VLOOKUP($H2,'Required Budget Information'!$D$2:$O$104,8,FALSE)</f>
        <v>Jannah Laserson</v>
      </c>
      <c r="F189" s="9" t="str">
        <f>VLOOKUP($H2,'Required Budget Information'!$D$2:$O$104,9,FALSE)</f>
        <v>(216) 849-3384</v>
      </c>
      <c r="G189" s="9" t="str">
        <f>VLOOKUP($H2,'Required Budget Information'!$D$2:$O$104,10,FALSE)</f>
        <v>lasersonj@gmail.com</v>
      </c>
      <c r="H189" s="8" t="s">
        <v>166</v>
      </c>
      <c r="I189" s="8" t="s">
        <v>188</v>
      </c>
      <c r="J189" s="10">
        <f>VLOOKUP($H2,'Required Budget Information'!$D$2:$O$104,12,FALSE)</f>
        <v>42988</v>
      </c>
      <c r="K189" s="8" t="s">
        <v>550</v>
      </c>
      <c r="L189" s="8">
        <v>750</v>
      </c>
      <c r="M189" s="11"/>
      <c r="N189" s="11"/>
      <c r="O189" s="11"/>
      <c r="P189" s="11" t="str">
        <f t="shared" si="2"/>
        <v/>
      </c>
    </row>
    <row r="190" spans="1:16" outlineLevel="1" x14ac:dyDescent="0.3">
      <c r="A190" s="4" t="s">
        <v>183</v>
      </c>
      <c r="B190" s="5" t="s">
        <v>1088</v>
      </c>
      <c r="C190" s="5" t="s">
        <v>1089</v>
      </c>
      <c r="D190" s="5" t="s">
        <v>1090</v>
      </c>
      <c r="E190" s="5" t="s">
        <v>1091</v>
      </c>
      <c r="F190" s="5" t="s">
        <v>1092</v>
      </c>
      <c r="G190" s="5" t="s">
        <v>1093</v>
      </c>
      <c r="H190" s="4" t="s">
        <v>184</v>
      </c>
      <c r="I190" s="4" t="s">
        <v>185</v>
      </c>
      <c r="J190" s="6">
        <v>42926</v>
      </c>
      <c r="K190" s="4" t="s">
        <v>561</v>
      </c>
      <c r="L190" s="4">
        <v>50</v>
      </c>
      <c r="M190" s="7"/>
      <c r="N190" s="7"/>
      <c r="O190" s="7"/>
      <c r="P190" s="7" t="str">
        <f t="shared" si="2"/>
        <v/>
      </c>
    </row>
    <row r="191" spans="1:16" outlineLevel="1" x14ac:dyDescent="0.3">
      <c r="A191" s="8" t="s">
        <v>180</v>
      </c>
      <c r="B191" s="9" t="str">
        <f>VLOOKUP($H2,'Required Budget Information'!$D$2:$O$104,5,FALSE)</f>
        <v>Amitai Max Samuels</v>
      </c>
      <c r="C191" s="9" t="str">
        <f>VLOOKUP($H2,'Required Budget Information'!$D$2:$O$104,6,FALSE)</f>
        <v>(857) 206-3338</v>
      </c>
      <c r="D191" s="9" t="str">
        <f>VLOOKUP($H2,'Required Budget Information'!$D$2:$O$104,7,FALSE)</f>
        <v>maxsam@terpmail.umd.edu</v>
      </c>
      <c r="E191" s="9" t="str">
        <f>VLOOKUP($H2,'Required Budget Information'!$D$2:$O$104,8,FALSE)</f>
        <v>Jannah Laserson</v>
      </c>
      <c r="F191" s="9" t="str">
        <f>VLOOKUP($H2,'Required Budget Information'!$D$2:$O$104,9,FALSE)</f>
        <v>(216) 849-3384</v>
      </c>
      <c r="G191" s="9" t="str">
        <f>VLOOKUP($H2,'Required Budget Information'!$D$2:$O$104,10,FALSE)</f>
        <v>lasersonj@gmail.com</v>
      </c>
      <c r="H191" s="8" t="s">
        <v>166</v>
      </c>
      <c r="I191" s="8" t="s">
        <v>181</v>
      </c>
      <c r="J191" s="10">
        <f>VLOOKUP($H2,'Required Budget Information'!$D$2:$O$104,12,FALSE)</f>
        <v>42988</v>
      </c>
      <c r="K191" s="8" t="s">
        <v>550</v>
      </c>
      <c r="L191" s="8">
        <v>750</v>
      </c>
      <c r="M191" s="11"/>
      <c r="N191" s="11"/>
      <c r="O191" s="11"/>
      <c r="P191" s="11" t="str">
        <f t="shared" si="2"/>
        <v/>
      </c>
    </row>
    <row r="192" spans="1:16" outlineLevel="1" x14ac:dyDescent="0.3">
      <c r="A192" s="4" t="s">
        <v>172</v>
      </c>
      <c r="B192" s="5" t="s">
        <v>760</v>
      </c>
      <c r="C192" s="5" t="s">
        <v>761</v>
      </c>
      <c r="D192" s="5" t="s">
        <v>762</v>
      </c>
      <c r="E192" s="5" t="s">
        <v>763</v>
      </c>
      <c r="F192" s="5" t="s">
        <v>764</v>
      </c>
      <c r="G192" s="5" t="s">
        <v>765</v>
      </c>
      <c r="H192" s="4" t="s">
        <v>173</v>
      </c>
      <c r="I192" s="4" t="s">
        <v>174</v>
      </c>
      <c r="J192" s="6">
        <v>43036</v>
      </c>
      <c r="K192" s="4" t="s">
        <v>556</v>
      </c>
      <c r="L192" s="4">
        <v>1600</v>
      </c>
      <c r="M192" s="7"/>
      <c r="N192" s="7"/>
      <c r="O192" s="7"/>
      <c r="P192" s="7" t="str">
        <f t="shared" si="2"/>
        <v/>
      </c>
    </row>
    <row r="193" spans="1:16" outlineLevel="1" x14ac:dyDescent="0.3">
      <c r="A193" s="8" t="s">
        <v>165</v>
      </c>
      <c r="B193" s="9" t="str">
        <f>VLOOKUP($H2,'Required Budget Information'!$D$2:$O$104,5,FALSE)</f>
        <v>Amitai Max Samuels</v>
      </c>
      <c r="C193" s="9" t="str">
        <f>VLOOKUP($H2,'Required Budget Information'!$D$2:$O$104,6,FALSE)</f>
        <v>(857) 206-3338</v>
      </c>
      <c r="D193" s="9" t="str">
        <f>VLOOKUP($H2,'Required Budget Information'!$D$2:$O$104,7,FALSE)</f>
        <v>maxsam@terpmail.umd.edu</v>
      </c>
      <c r="E193" s="9" t="str">
        <f>VLOOKUP($H2,'Required Budget Information'!$D$2:$O$104,8,FALSE)</f>
        <v>Jannah Laserson</v>
      </c>
      <c r="F193" s="9" t="str">
        <f>VLOOKUP($H2,'Required Budget Information'!$D$2:$O$104,9,FALSE)</f>
        <v>(216) 849-3384</v>
      </c>
      <c r="G193" s="9" t="str">
        <f>VLOOKUP($H2,'Required Budget Information'!$D$2:$O$104,10,FALSE)</f>
        <v>lasersonj@gmail.com</v>
      </c>
      <c r="H193" s="8" t="s">
        <v>166</v>
      </c>
      <c r="I193" s="8" t="s">
        <v>167</v>
      </c>
      <c r="J193" s="10">
        <f>VLOOKUP($H2,'Required Budget Information'!$D$2:$O$104,12,FALSE)</f>
        <v>42988</v>
      </c>
      <c r="K193" s="8" t="s">
        <v>550</v>
      </c>
      <c r="L193" s="8">
        <v>1500</v>
      </c>
      <c r="M193" s="11"/>
      <c r="N193" s="11"/>
      <c r="O193" s="11"/>
      <c r="P193" s="11" t="str">
        <f t="shared" si="2"/>
        <v/>
      </c>
    </row>
    <row r="194" spans="1:16" outlineLevel="1" x14ac:dyDescent="0.3">
      <c r="A194" s="4" t="s">
        <v>161</v>
      </c>
      <c r="B194" s="5" t="s">
        <v>1096</v>
      </c>
      <c r="C194" s="5" t="s">
        <v>1097</v>
      </c>
      <c r="D194" s="5" t="s">
        <v>1098</v>
      </c>
      <c r="E194" s="5" t="s">
        <v>1099</v>
      </c>
      <c r="F194" s="5" t="s">
        <v>1100</v>
      </c>
      <c r="G194" s="5" t="s">
        <v>1101</v>
      </c>
      <c r="H194" s="4" t="s">
        <v>162</v>
      </c>
      <c r="I194" s="4" t="s">
        <v>163</v>
      </c>
      <c r="J194" s="6">
        <v>43003</v>
      </c>
      <c r="K194" s="4" t="s">
        <v>98</v>
      </c>
      <c r="L194" s="4">
        <v>2000</v>
      </c>
      <c r="M194" s="7"/>
      <c r="N194" s="7"/>
      <c r="O194" s="7"/>
      <c r="P194" s="7" t="str">
        <f t="shared" si="2"/>
        <v/>
      </c>
    </row>
    <row r="195" spans="1:16" outlineLevel="1" x14ac:dyDescent="0.3">
      <c r="A195" s="8" t="s">
        <v>122</v>
      </c>
      <c r="B195" s="9" t="str">
        <f>VLOOKUP($H2,'Required Budget Information'!$D$2:$O$104,5,FALSE)</f>
        <v>Amitai Max Samuels</v>
      </c>
      <c r="C195" s="9" t="str">
        <f>VLOOKUP($H2,'Required Budget Information'!$D$2:$O$104,6,FALSE)</f>
        <v>(857) 206-3338</v>
      </c>
      <c r="D195" s="9" t="str">
        <f>VLOOKUP($H2,'Required Budget Information'!$D$2:$O$104,7,FALSE)</f>
        <v>maxsam@terpmail.umd.edu</v>
      </c>
      <c r="E195" s="9" t="str">
        <f>VLOOKUP($H2,'Required Budget Information'!$D$2:$O$104,8,FALSE)</f>
        <v>Jannah Laserson</v>
      </c>
      <c r="F195" s="9" t="str">
        <f>VLOOKUP($H2,'Required Budget Information'!$D$2:$O$104,9,FALSE)</f>
        <v>(216) 849-3384</v>
      </c>
      <c r="G195" s="9" t="str">
        <f>VLOOKUP($H2,'Required Budget Information'!$D$2:$O$104,10,FALSE)</f>
        <v>lasersonj@gmail.com</v>
      </c>
      <c r="H195" s="8" t="s">
        <v>123</v>
      </c>
      <c r="I195" s="8" t="s">
        <v>124</v>
      </c>
      <c r="J195" s="10">
        <f>VLOOKUP($H2,'Required Budget Information'!$D$2:$O$104,12,FALSE)</f>
        <v>42988</v>
      </c>
      <c r="K195" s="8" t="s">
        <v>550</v>
      </c>
      <c r="L195" s="8">
        <v>29</v>
      </c>
      <c r="M195" s="11"/>
      <c r="N195" s="11"/>
      <c r="O195" s="11"/>
      <c r="P195" s="11" t="str">
        <f t="shared" ref="P195:P239" si="3">IF(VALUE(N195)=VALUE(L195),IF(TRIM(M195)&lt;&gt;"Fully Fund", "Check Committee Decision","Good"),IF(VALUE(N195)&gt;0,IF(TRIM(M195)&lt;&gt;"Partially Fund","Check Committee Decision", IF(O195&lt;&gt;"","Good","Reason?")),IF(TRIM(M195)&lt;&gt;"Not Fund", IF(TRIM(M195)&lt;&gt;"","Check Committee Decision", ""), IF(O195&lt;&gt;"","Good","Reason?"))))</f>
        <v/>
      </c>
    </row>
    <row r="196" spans="1:16" outlineLevel="1" x14ac:dyDescent="0.3">
      <c r="A196" s="4" t="s">
        <v>90</v>
      </c>
      <c r="B196" s="5" t="s">
        <v>1079</v>
      </c>
      <c r="C196" s="5" t="s">
        <v>1080</v>
      </c>
      <c r="D196" s="5" t="s">
        <v>1081</v>
      </c>
      <c r="E196" s="5" t="s">
        <v>1082</v>
      </c>
      <c r="F196" s="5" t="s">
        <v>1083</v>
      </c>
      <c r="G196" s="5" t="s">
        <v>1084</v>
      </c>
      <c r="H196" s="4" t="s">
        <v>87</v>
      </c>
      <c r="I196" s="4" t="s">
        <v>91</v>
      </c>
      <c r="J196" s="6">
        <v>42980</v>
      </c>
      <c r="K196" s="4" t="s">
        <v>556</v>
      </c>
      <c r="L196" s="4">
        <v>14400</v>
      </c>
      <c r="M196" s="7"/>
      <c r="N196" s="7"/>
      <c r="O196" s="7"/>
      <c r="P196" s="7" t="str">
        <f t="shared" si="3"/>
        <v/>
      </c>
    </row>
    <row r="197" spans="1:16" outlineLevel="1" x14ac:dyDescent="0.3">
      <c r="A197" s="8" t="s">
        <v>149</v>
      </c>
      <c r="B197" s="9" t="s">
        <v>1113</v>
      </c>
      <c r="C197" s="9" t="s">
        <v>1114</v>
      </c>
      <c r="D197" s="9" t="s">
        <v>1115</v>
      </c>
      <c r="E197" s="9" t="s">
        <v>1116</v>
      </c>
      <c r="F197" s="9" t="s">
        <v>1117</v>
      </c>
      <c r="G197" s="9" t="s">
        <v>1118</v>
      </c>
      <c r="H197" s="8" t="s">
        <v>150</v>
      </c>
      <c r="I197" s="8" t="s">
        <v>151</v>
      </c>
      <c r="J197" s="10">
        <v>42948</v>
      </c>
      <c r="K197" s="8" t="s">
        <v>618</v>
      </c>
      <c r="L197" s="8">
        <v>15</v>
      </c>
      <c r="M197" s="11"/>
      <c r="N197" s="11"/>
      <c r="O197" s="11"/>
      <c r="P197" s="11" t="str">
        <f t="shared" si="3"/>
        <v/>
      </c>
    </row>
    <row r="198" spans="1:16" outlineLevel="1" x14ac:dyDescent="0.3">
      <c r="A198" s="4" t="s">
        <v>48</v>
      </c>
      <c r="B198" s="5" t="s">
        <v>1121</v>
      </c>
      <c r="C198" s="5" t="s">
        <v>1122</v>
      </c>
      <c r="D198" s="5" t="s">
        <v>1123</v>
      </c>
      <c r="E198" s="5" t="s">
        <v>1124</v>
      </c>
      <c r="F198" s="5" t="s">
        <v>1125</v>
      </c>
      <c r="G198" s="5" t="s">
        <v>1126</v>
      </c>
      <c r="H198" s="4" t="s">
        <v>49</v>
      </c>
      <c r="I198" s="4" t="s">
        <v>50</v>
      </c>
      <c r="J198" s="6">
        <v>42861</v>
      </c>
      <c r="K198" s="4" t="s">
        <v>556</v>
      </c>
      <c r="L198" s="4">
        <v>3975</v>
      </c>
      <c r="M198" s="7"/>
      <c r="N198" s="7"/>
      <c r="O198" s="7"/>
      <c r="P198" s="7" t="str">
        <f t="shared" si="3"/>
        <v/>
      </c>
    </row>
    <row r="199" spans="1:16" outlineLevel="1" x14ac:dyDescent="0.3">
      <c r="A199" s="8" t="s">
        <v>136</v>
      </c>
      <c r="B199" s="9" t="s">
        <v>1128</v>
      </c>
      <c r="C199" s="9" t="s">
        <v>1129</v>
      </c>
      <c r="D199" s="9" t="s">
        <v>1130</v>
      </c>
      <c r="E199" s="9" t="s">
        <v>1131</v>
      </c>
      <c r="F199" s="9" t="s">
        <v>1132</v>
      </c>
      <c r="G199" s="9" t="s">
        <v>1133</v>
      </c>
      <c r="H199" s="8" t="s">
        <v>137</v>
      </c>
      <c r="I199" s="8" t="s">
        <v>138</v>
      </c>
      <c r="J199" s="10">
        <v>42967</v>
      </c>
      <c r="K199" s="8" t="s">
        <v>591</v>
      </c>
      <c r="L199" s="8">
        <v>200</v>
      </c>
      <c r="M199" s="11"/>
      <c r="N199" s="11"/>
      <c r="O199" s="11"/>
      <c r="P199" s="11" t="str">
        <f t="shared" si="3"/>
        <v/>
      </c>
    </row>
    <row r="200" spans="1:16" outlineLevel="1" x14ac:dyDescent="0.3">
      <c r="A200" s="4" t="s">
        <v>136</v>
      </c>
      <c r="B200" s="5" t="s">
        <v>1128</v>
      </c>
      <c r="C200" s="5" t="s">
        <v>1129</v>
      </c>
      <c r="D200" s="5" t="s">
        <v>1130</v>
      </c>
      <c r="E200" s="5" t="s">
        <v>1131</v>
      </c>
      <c r="F200" s="5" t="s">
        <v>1132</v>
      </c>
      <c r="G200" s="5" t="s">
        <v>1133</v>
      </c>
      <c r="H200" s="4" t="s">
        <v>137</v>
      </c>
      <c r="I200" s="4" t="s">
        <v>138</v>
      </c>
      <c r="J200" s="6">
        <v>42967</v>
      </c>
      <c r="K200" s="4" t="s">
        <v>556</v>
      </c>
      <c r="L200" s="4">
        <v>1620</v>
      </c>
      <c r="M200" s="7"/>
      <c r="N200" s="7"/>
      <c r="O200" s="7"/>
      <c r="P200" s="7" t="str">
        <f t="shared" si="3"/>
        <v/>
      </c>
    </row>
    <row r="201" spans="1:16" outlineLevel="1" x14ac:dyDescent="0.3">
      <c r="A201" s="8" t="s">
        <v>133</v>
      </c>
      <c r="B201" s="9" t="s">
        <v>1135</v>
      </c>
      <c r="C201" s="9" t="s">
        <v>1136</v>
      </c>
      <c r="D201" s="9" t="s">
        <v>1137</v>
      </c>
      <c r="E201" s="9" t="s">
        <v>1138</v>
      </c>
      <c r="F201" s="9" t="s">
        <v>1139</v>
      </c>
      <c r="G201" s="9" t="s">
        <v>1140</v>
      </c>
      <c r="H201" s="8" t="s">
        <v>7</v>
      </c>
      <c r="I201" s="8" t="s">
        <v>134</v>
      </c>
      <c r="J201" s="10">
        <v>42998</v>
      </c>
      <c r="K201" s="8" t="s">
        <v>552</v>
      </c>
      <c r="L201" s="8">
        <v>175</v>
      </c>
      <c r="M201" s="11"/>
      <c r="N201" s="11"/>
      <c r="O201" s="11"/>
      <c r="P201" s="11" t="str">
        <f t="shared" si="3"/>
        <v/>
      </c>
    </row>
    <row r="202" spans="1:16" outlineLevel="1" x14ac:dyDescent="0.3">
      <c r="A202" s="4" t="s">
        <v>133</v>
      </c>
      <c r="B202" s="5" t="s">
        <v>1135</v>
      </c>
      <c r="C202" s="5" t="s">
        <v>1136</v>
      </c>
      <c r="D202" s="5" t="s">
        <v>1137</v>
      </c>
      <c r="E202" s="5" t="s">
        <v>1138</v>
      </c>
      <c r="F202" s="5" t="s">
        <v>1139</v>
      </c>
      <c r="G202" s="5" t="s">
        <v>1140</v>
      </c>
      <c r="H202" s="4" t="s">
        <v>7</v>
      </c>
      <c r="I202" s="4" t="s">
        <v>134</v>
      </c>
      <c r="J202" s="6">
        <v>42998</v>
      </c>
      <c r="K202" s="4" t="s">
        <v>550</v>
      </c>
      <c r="L202" s="4">
        <v>430</v>
      </c>
      <c r="M202" s="7"/>
      <c r="N202" s="7"/>
      <c r="O202" s="7"/>
      <c r="P202" s="7" t="str">
        <f t="shared" si="3"/>
        <v/>
      </c>
    </row>
    <row r="203" spans="1:16" outlineLevel="1" x14ac:dyDescent="0.3">
      <c r="A203" s="8" t="s">
        <v>95</v>
      </c>
      <c r="B203" s="9" t="str">
        <f>VLOOKUP($H2,'Required Budget Information'!$D$2:$O$104,5,FALSE)</f>
        <v>Amitai Max Samuels</v>
      </c>
      <c r="C203" s="9" t="str">
        <f>VLOOKUP($H2,'Required Budget Information'!$D$2:$O$104,6,FALSE)</f>
        <v>(857) 206-3338</v>
      </c>
      <c r="D203" s="9" t="str">
        <f>VLOOKUP($H2,'Required Budget Information'!$D$2:$O$104,7,FALSE)</f>
        <v>maxsam@terpmail.umd.edu</v>
      </c>
      <c r="E203" s="9" t="str">
        <f>VLOOKUP($H2,'Required Budget Information'!$D$2:$O$104,8,FALSE)</f>
        <v>Jannah Laserson</v>
      </c>
      <c r="F203" s="9" t="str">
        <f>VLOOKUP($H2,'Required Budget Information'!$D$2:$O$104,9,FALSE)</f>
        <v>(216) 849-3384</v>
      </c>
      <c r="G203" s="9" t="str">
        <f>VLOOKUP($H2,'Required Budget Information'!$D$2:$O$104,10,FALSE)</f>
        <v>lasersonj@gmail.com</v>
      </c>
      <c r="H203" s="8" t="s">
        <v>93</v>
      </c>
      <c r="I203" s="8" t="s">
        <v>94</v>
      </c>
      <c r="J203" s="10">
        <f>VLOOKUP($H2,'Required Budget Information'!$D$2:$O$104,12,FALSE)</f>
        <v>42988</v>
      </c>
      <c r="K203" s="8" t="s">
        <v>550</v>
      </c>
      <c r="L203" s="8">
        <v>1132</v>
      </c>
      <c r="M203" s="11"/>
      <c r="N203" s="11"/>
      <c r="O203" s="11"/>
      <c r="P203" s="11" t="str">
        <f t="shared" si="3"/>
        <v/>
      </c>
    </row>
    <row r="204" spans="1:16" outlineLevel="1" x14ac:dyDescent="0.3">
      <c r="A204" s="4" t="s">
        <v>95</v>
      </c>
      <c r="B204" s="5" t="str">
        <f>VLOOKUP($H2,'Required Budget Information'!$D$2:$O$104,5,FALSE)</f>
        <v>Amitai Max Samuels</v>
      </c>
      <c r="C204" s="5" t="str">
        <f>VLOOKUP($H2,'Required Budget Information'!$D$2:$O$104,6,FALSE)</f>
        <v>(857) 206-3338</v>
      </c>
      <c r="D204" s="5" t="str">
        <f>VLOOKUP($H2,'Required Budget Information'!$D$2:$O$104,7,FALSE)</f>
        <v>maxsam@terpmail.umd.edu</v>
      </c>
      <c r="E204" s="5" t="str">
        <f>VLOOKUP($H2,'Required Budget Information'!$D$2:$O$104,8,FALSE)</f>
        <v>Jannah Laserson</v>
      </c>
      <c r="F204" s="5" t="str">
        <f>VLOOKUP($H2,'Required Budget Information'!$D$2:$O$104,9,FALSE)</f>
        <v>(216) 849-3384</v>
      </c>
      <c r="G204" s="5" t="str">
        <f>VLOOKUP($H2,'Required Budget Information'!$D$2:$O$104,10,FALSE)</f>
        <v>lasersonj@gmail.com</v>
      </c>
      <c r="H204" s="4" t="s">
        <v>93</v>
      </c>
      <c r="I204" s="4" t="s">
        <v>94</v>
      </c>
      <c r="J204" s="6">
        <f>VLOOKUP($H2,'Required Budget Information'!$D$2:$O$104,12,FALSE)</f>
        <v>42988</v>
      </c>
      <c r="K204" s="4" t="s">
        <v>552</v>
      </c>
      <c r="L204" s="4">
        <v>470</v>
      </c>
      <c r="M204" s="7"/>
      <c r="N204" s="7"/>
      <c r="O204" s="7"/>
      <c r="P204" s="7" t="str">
        <f t="shared" si="3"/>
        <v/>
      </c>
    </row>
    <row r="205" spans="1:16" outlineLevel="1" x14ac:dyDescent="0.3">
      <c r="A205" s="8" t="s">
        <v>103</v>
      </c>
      <c r="B205" s="9" t="s">
        <v>1135</v>
      </c>
      <c r="C205" s="9" t="s">
        <v>1136</v>
      </c>
      <c r="D205" s="9" t="s">
        <v>1137</v>
      </c>
      <c r="E205" s="9" t="s">
        <v>1138</v>
      </c>
      <c r="F205" s="9" t="s">
        <v>1139</v>
      </c>
      <c r="G205" s="9" t="s">
        <v>1140</v>
      </c>
      <c r="H205" s="8" t="s">
        <v>7</v>
      </c>
      <c r="I205" s="8" t="s">
        <v>104</v>
      </c>
      <c r="J205" s="10">
        <v>42999</v>
      </c>
      <c r="K205" s="8" t="s">
        <v>552</v>
      </c>
      <c r="L205" s="8">
        <v>325</v>
      </c>
      <c r="M205" s="11"/>
      <c r="N205" s="11"/>
      <c r="O205" s="11"/>
      <c r="P205" s="11" t="str">
        <f t="shared" si="3"/>
        <v/>
      </c>
    </row>
    <row r="206" spans="1:16" outlineLevel="1" x14ac:dyDescent="0.3">
      <c r="A206" s="4" t="s">
        <v>103</v>
      </c>
      <c r="B206" s="5" t="s">
        <v>1135</v>
      </c>
      <c r="C206" s="5" t="s">
        <v>1136</v>
      </c>
      <c r="D206" s="5" t="s">
        <v>1137</v>
      </c>
      <c r="E206" s="5" t="s">
        <v>1138</v>
      </c>
      <c r="F206" s="5" t="s">
        <v>1139</v>
      </c>
      <c r="G206" s="5" t="s">
        <v>1140</v>
      </c>
      <c r="H206" s="4" t="s">
        <v>7</v>
      </c>
      <c r="I206" s="4" t="s">
        <v>104</v>
      </c>
      <c r="J206" s="6">
        <v>42999</v>
      </c>
      <c r="K206" s="4" t="s">
        <v>550</v>
      </c>
      <c r="L206" s="4">
        <v>260</v>
      </c>
      <c r="M206" s="7"/>
      <c r="N206" s="7"/>
      <c r="O206" s="7"/>
      <c r="P206" s="7" t="str">
        <f t="shared" si="3"/>
        <v/>
      </c>
    </row>
    <row r="207" spans="1:16" outlineLevel="1" x14ac:dyDescent="0.3">
      <c r="A207" s="8" t="s">
        <v>117</v>
      </c>
      <c r="B207" s="9" t="str">
        <f>VLOOKUP($H2,'Required Budget Information'!$D$2:$O$104,5,FALSE)</f>
        <v>Amitai Max Samuels</v>
      </c>
      <c r="C207" s="9" t="str">
        <f>VLOOKUP($H2,'Required Budget Information'!$D$2:$O$104,6,FALSE)</f>
        <v>(857) 206-3338</v>
      </c>
      <c r="D207" s="9" t="str">
        <f>VLOOKUP($H2,'Required Budget Information'!$D$2:$O$104,7,FALSE)</f>
        <v>maxsam@terpmail.umd.edu</v>
      </c>
      <c r="E207" s="9" t="str">
        <f>VLOOKUP($H2,'Required Budget Information'!$D$2:$O$104,8,FALSE)</f>
        <v>Jannah Laserson</v>
      </c>
      <c r="F207" s="9" t="str">
        <f>VLOOKUP($H2,'Required Budget Information'!$D$2:$O$104,9,FALSE)</f>
        <v>(216) 849-3384</v>
      </c>
      <c r="G207" s="9" t="str">
        <f>VLOOKUP($H2,'Required Budget Information'!$D$2:$O$104,10,FALSE)</f>
        <v>lasersonj@gmail.com</v>
      </c>
      <c r="H207" s="8" t="s">
        <v>93</v>
      </c>
      <c r="I207" s="8" t="s">
        <v>94</v>
      </c>
      <c r="J207" s="10">
        <f>VLOOKUP($H2,'Required Budget Information'!$D$2:$O$104,12,FALSE)</f>
        <v>42988</v>
      </c>
      <c r="K207" s="8" t="s">
        <v>550</v>
      </c>
      <c r="L207" s="8">
        <v>1000</v>
      </c>
      <c r="M207" s="11"/>
      <c r="N207" s="11"/>
      <c r="O207" s="11"/>
      <c r="P207" s="11" t="str">
        <f t="shared" si="3"/>
        <v/>
      </c>
    </row>
    <row r="208" spans="1:16" outlineLevel="1" x14ac:dyDescent="0.3">
      <c r="A208" s="4" t="s">
        <v>114</v>
      </c>
      <c r="B208" s="5" t="s">
        <v>1144</v>
      </c>
      <c r="C208" s="5" t="s">
        <v>1145</v>
      </c>
      <c r="D208" s="5" t="s">
        <v>1146</v>
      </c>
      <c r="E208" s="5" t="s">
        <v>1147</v>
      </c>
      <c r="F208" s="5" t="s">
        <v>1148</v>
      </c>
      <c r="G208" s="5" t="s">
        <v>1149</v>
      </c>
      <c r="H208" s="4" t="s">
        <v>115</v>
      </c>
      <c r="I208" s="4" t="s">
        <v>42</v>
      </c>
      <c r="J208" s="6">
        <v>42983</v>
      </c>
      <c r="K208" s="4" t="s">
        <v>550</v>
      </c>
      <c r="L208" s="4">
        <v>900</v>
      </c>
      <c r="M208" s="7"/>
      <c r="N208" s="7"/>
      <c r="O208" s="7"/>
      <c r="P208" s="7" t="str">
        <f t="shared" si="3"/>
        <v/>
      </c>
    </row>
    <row r="209" spans="1:16" outlineLevel="1" x14ac:dyDescent="0.3">
      <c r="A209" s="8" t="s">
        <v>72</v>
      </c>
      <c r="B209" s="9" t="str">
        <f>VLOOKUP($H2,'Required Budget Information'!$D$2:$O$104,5,FALSE)</f>
        <v>Amitai Max Samuels</v>
      </c>
      <c r="C209" s="9" t="str">
        <f>VLOOKUP($H2,'Required Budget Information'!$D$2:$O$104,6,FALSE)</f>
        <v>(857) 206-3338</v>
      </c>
      <c r="D209" s="9" t="str">
        <f>VLOOKUP($H2,'Required Budget Information'!$D$2:$O$104,7,FALSE)</f>
        <v>maxsam@terpmail.umd.edu</v>
      </c>
      <c r="E209" s="9" t="str">
        <f>VLOOKUP($H2,'Required Budget Information'!$D$2:$O$104,8,FALSE)</f>
        <v>Jannah Laserson</v>
      </c>
      <c r="F209" s="9" t="str">
        <f>VLOOKUP($H2,'Required Budget Information'!$D$2:$O$104,9,FALSE)</f>
        <v>(216) 849-3384</v>
      </c>
      <c r="G209" s="9" t="str">
        <f>VLOOKUP($H2,'Required Budget Information'!$D$2:$O$104,10,FALSE)</f>
        <v>lasersonj@gmail.com</v>
      </c>
      <c r="H209" s="8" t="s">
        <v>73</v>
      </c>
      <c r="I209" s="8" t="s">
        <v>74</v>
      </c>
      <c r="J209" s="10">
        <f>VLOOKUP($H2,'Required Budget Information'!$D$2:$O$104,12,FALSE)</f>
        <v>42988</v>
      </c>
      <c r="K209" s="8" t="s">
        <v>552</v>
      </c>
      <c r="L209" s="8">
        <v>780.83000000000015</v>
      </c>
      <c r="M209" s="11"/>
      <c r="N209" s="11"/>
      <c r="O209" s="11"/>
      <c r="P209" s="11" t="str">
        <f t="shared" si="3"/>
        <v/>
      </c>
    </row>
    <row r="210" spans="1:16" outlineLevel="1" x14ac:dyDescent="0.3">
      <c r="A210" s="4" t="s">
        <v>56</v>
      </c>
      <c r="B210" s="5" t="s">
        <v>1121</v>
      </c>
      <c r="C210" s="5" t="s">
        <v>1122</v>
      </c>
      <c r="D210" s="5" t="s">
        <v>1123</v>
      </c>
      <c r="E210" s="5" t="s">
        <v>1124</v>
      </c>
      <c r="F210" s="5" t="s">
        <v>1125</v>
      </c>
      <c r="G210" s="5" t="s">
        <v>1126</v>
      </c>
      <c r="H210" s="4" t="s">
        <v>49</v>
      </c>
      <c r="I210" s="4" t="s">
        <v>57</v>
      </c>
      <c r="J210" s="6">
        <v>42861</v>
      </c>
      <c r="K210" s="4" t="s">
        <v>556</v>
      </c>
      <c r="L210" s="4">
        <v>500</v>
      </c>
      <c r="M210" s="7"/>
      <c r="N210" s="7"/>
      <c r="O210" s="7"/>
      <c r="P210" s="7" t="str">
        <f t="shared" si="3"/>
        <v/>
      </c>
    </row>
    <row r="211" spans="1:16" outlineLevel="1" x14ac:dyDescent="0.3">
      <c r="A211" s="8" t="s">
        <v>100</v>
      </c>
      <c r="B211" s="9" t="s">
        <v>1153</v>
      </c>
      <c r="C211" s="9" t="s">
        <v>1154</v>
      </c>
      <c r="D211" s="9" t="s">
        <v>1155</v>
      </c>
      <c r="E211" s="9" t="s">
        <v>1156</v>
      </c>
      <c r="F211" s="9" t="s">
        <v>1157</v>
      </c>
      <c r="G211" s="9" t="s">
        <v>1158</v>
      </c>
      <c r="H211" s="8" t="s">
        <v>73</v>
      </c>
      <c r="I211" s="8" t="s">
        <v>101</v>
      </c>
      <c r="J211" s="10">
        <v>43069</v>
      </c>
      <c r="K211" s="8" t="s">
        <v>635</v>
      </c>
      <c r="L211" s="8">
        <v>3890</v>
      </c>
      <c r="M211" s="11"/>
      <c r="N211" s="11"/>
      <c r="O211" s="11"/>
      <c r="P211" s="11" t="str">
        <f t="shared" si="3"/>
        <v/>
      </c>
    </row>
    <row r="212" spans="1:16" outlineLevel="1" x14ac:dyDescent="0.3">
      <c r="A212" s="4" t="s">
        <v>82</v>
      </c>
      <c r="B212" s="5" t="str">
        <f>VLOOKUP($H2,'Required Budget Information'!$D$2:$O$104,5,FALSE)</f>
        <v>Amitai Max Samuels</v>
      </c>
      <c r="C212" s="5" t="str">
        <f>VLOOKUP($H2,'Required Budget Information'!$D$2:$O$104,6,FALSE)</f>
        <v>(857) 206-3338</v>
      </c>
      <c r="D212" s="5" t="str">
        <f>VLOOKUP($H2,'Required Budget Information'!$D$2:$O$104,7,FALSE)</f>
        <v>maxsam@terpmail.umd.edu</v>
      </c>
      <c r="E212" s="5" t="str">
        <f>VLOOKUP($H2,'Required Budget Information'!$D$2:$O$104,8,FALSE)</f>
        <v>Jannah Laserson</v>
      </c>
      <c r="F212" s="5" t="str">
        <f>VLOOKUP($H2,'Required Budget Information'!$D$2:$O$104,9,FALSE)</f>
        <v>(216) 849-3384</v>
      </c>
      <c r="G212" s="5" t="str">
        <f>VLOOKUP($H2,'Required Budget Information'!$D$2:$O$104,10,FALSE)</f>
        <v>lasersonj@gmail.com</v>
      </c>
      <c r="H212" s="4" t="s">
        <v>83</v>
      </c>
      <c r="I212" s="4" t="s">
        <v>84</v>
      </c>
      <c r="J212" s="6">
        <f>VLOOKUP($H2,'Required Budget Information'!$D$2:$O$104,12,FALSE)</f>
        <v>42988</v>
      </c>
      <c r="K212" s="4" t="s">
        <v>556</v>
      </c>
      <c r="L212" s="4">
        <v>480</v>
      </c>
      <c r="M212" s="7"/>
      <c r="N212" s="7"/>
      <c r="O212" s="7"/>
      <c r="P212" s="7" t="str">
        <f t="shared" si="3"/>
        <v/>
      </c>
    </row>
    <row r="213" spans="1:16" outlineLevel="1" x14ac:dyDescent="0.3">
      <c r="A213" s="8" t="s">
        <v>59</v>
      </c>
      <c r="B213" s="9" t="s">
        <v>834</v>
      </c>
      <c r="C213" s="9" t="s">
        <v>835</v>
      </c>
      <c r="D213" s="9" t="s">
        <v>842</v>
      </c>
      <c r="E213" s="9" t="s">
        <v>837</v>
      </c>
      <c r="F213" s="9" t="s">
        <v>838</v>
      </c>
      <c r="G213" s="9" t="s">
        <v>839</v>
      </c>
      <c r="H213" s="8" t="s">
        <v>60</v>
      </c>
      <c r="I213" s="8" t="s">
        <v>61</v>
      </c>
      <c r="J213" s="10">
        <v>43057</v>
      </c>
      <c r="K213" s="8" t="s">
        <v>550</v>
      </c>
      <c r="L213" s="8">
        <v>520</v>
      </c>
      <c r="M213" s="11"/>
      <c r="N213" s="11"/>
      <c r="O213" s="11"/>
      <c r="P213" s="11" t="str">
        <f t="shared" si="3"/>
        <v/>
      </c>
    </row>
    <row r="214" spans="1:16" outlineLevel="1" x14ac:dyDescent="0.3">
      <c r="A214" s="4" t="s">
        <v>59</v>
      </c>
      <c r="B214" s="5" t="s">
        <v>834</v>
      </c>
      <c r="C214" s="5" t="s">
        <v>835</v>
      </c>
      <c r="D214" s="5" t="s">
        <v>842</v>
      </c>
      <c r="E214" s="5" t="s">
        <v>837</v>
      </c>
      <c r="F214" s="5" t="s">
        <v>838</v>
      </c>
      <c r="G214" s="5" t="s">
        <v>839</v>
      </c>
      <c r="H214" s="4" t="s">
        <v>60</v>
      </c>
      <c r="I214" s="4" t="s">
        <v>61</v>
      </c>
      <c r="J214" s="6">
        <v>43057</v>
      </c>
      <c r="K214" s="4" t="s">
        <v>552</v>
      </c>
      <c r="L214" s="4">
        <v>320</v>
      </c>
      <c r="M214" s="7"/>
      <c r="N214" s="7"/>
      <c r="O214" s="7"/>
      <c r="P214" s="7" t="str">
        <f t="shared" si="3"/>
        <v/>
      </c>
    </row>
    <row r="215" spans="1:16" outlineLevel="1" x14ac:dyDescent="0.3">
      <c r="A215" s="8" t="s">
        <v>59</v>
      </c>
      <c r="B215" s="9" t="s">
        <v>834</v>
      </c>
      <c r="C215" s="9" t="s">
        <v>835</v>
      </c>
      <c r="D215" s="9" t="s">
        <v>842</v>
      </c>
      <c r="E215" s="9" t="s">
        <v>837</v>
      </c>
      <c r="F215" s="9" t="s">
        <v>838</v>
      </c>
      <c r="G215" s="9" t="s">
        <v>839</v>
      </c>
      <c r="H215" s="8" t="s">
        <v>60</v>
      </c>
      <c r="I215" s="8" t="s">
        <v>61</v>
      </c>
      <c r="J215" s="10">
        <v>43057</v>
      </c>
      <c r="K215" s="8" t="s">
        <v>554</v>
      </c>
      <c r="L215" s="8">
        <v>700</v>
      </c>
      <c r="M215" s="11"/>
      <c r="N215" s="11"/>
      <c r="O215" s="11"/>
      <c r="P215" s="11" t="str">
        <f t="shared" si="3"/>
        <v/>
      </c>
    </row>
    <row r="216" spans="1:16" outlineLevel="1" x14ac:dyDescent="0.3">
      <c r="A216" s="4" t="s">
        <v>59</v>
      </c>
      <c r="B216" s="5" t="s">
        <v>834</v>
      </c>
      <c r="C216" s="5" t="s">
        <v>835</v>
      </c>
      <c r="D216" s="5" t="s">
        <v>842</v>
      </c>
      <c r="E216" s="5" t="s">
        <v>837</v>
      </c>
      <c r="F216" s="5" t="s">
        <v>838</v>
      </c>
      <c r="G216" s="5" t="s">
        <v>839</v>
      </c>
      <c r="H216" s="4" t="s">
        <v>60</v>
      </c>
      <c r="I216" s="4" t="s">
        <v>61</v>
      </c>
      <c r="J216" s="6">
        <v>43057</v>
      </c>
      <c r="K216" s="4" t="s">
        <v>556</v>
      </c>
      <c r="L216" s="4">
        <v>2275</v>
      </c>
      <c r="M216" s="7"/>
      <c r="N216" s="7"/>
      <c r="O216" s="7"/>
      <c r="P216" s="7" t="str">
        <f t="shared" si="3"/>
        <v/>
      </c>
    </row>
    <row r="217" spans="1:16" outlineLevel="1" x14ac:dyDescent="0.3">
      <c r="A217" s="8" t="s">
        <v>59</v>
      </c>
      <c r="B217" s="9" t="s">
        <v>834</v>
      </c>
      <c r="C217" s="9" t="s">
        <v>835</v>
      </c>
      <c r="D217" s="9" t="s">
        <v>842</v>
      </c>
      <c r="E217" s="9" t="s">
        <v>837</v>
      </c>
      <c r="F217" s="9" t="s">
        <v>838</v>
      </c>
      <c r="G217" s="9" t="s">
        <v>839</v>
      </c>
      <c r="H217" s="8" t="s">
        <v>60</v>
      </c>
      <c r="I217" s="8" t="s">
        <v>61</v>
      </c>
      <c r="J217" s="10">
        <v>43057</v>
      </c>
      <c r="K217" s="8" t="s">
        <v>561</v>
      </c>
      <c r="L217" s="8">
        <v>269.89999999999998</v>
      </c>
      <c r="M217" s="11"/>
      <c r="N217" s="11"/>
      <c r="O217" s="11"/>
      <c r="P217" s="11" t="str">
        <f t="shared" si="3"/>
        <v/>
      </c>
    </row>
    <row r="218" spans="1:16" outlineLevel="1" x14ac:dyDescent="0.3">
      <c r="A218" s="4" t="s">
        <v>25</v>
      </c>
      <c r="B218" s="5" t="s">
        <v>1177</v>
      </c>
      <c r="C218" s="5" t="s">
        <v>1178</v>
      </c>
      <c r="D218" s="5" t="s">
        <v>1179</v>
      </c>
      <c r="E218" s="5" t="s">
        <v>1180</v>
      </c>
      <c r="F218" s="5" t="s">
        <v>1181</v>
      </c>
      <c r="G218" s="5" t="s">
        <v>1182</v>
      </c>
      <c r="H218" s="4" t="s">
        <v>26</v>
      </c>
      <c r="I218" s="4" t="s">
        <v>27</v>
      </c>
      <c r="J218" s="6">
        <v>42970</v>
      </c>
      <c r="K218" s="4" t="s">
        <v>554</v>
      </c>
      <c r="L218" s="4">
        <v>390</v>
      </c>
      <c r="M218" s="7"/>
      <c r="N218" s="7"/>
      <c r="O218" s="7"/>
      <c r="P218" s="7" t="str">
        <f t="shared" si="3"/>
        <v/>
      </c>
    </row>
    <row r="219" spans="1:16" outlineLevel="1" x14ac:dyDescent="0.3">
      <c r="A219" s="8" t="s">
        <v>66</v>
      </c>
      <c r="B219" s="9" t="str">
        <f>VLOOKUP($H2,'Required Budget Information'!$D$2:$O$104,5,FALSE)</f>
        <v>Amitai Max Samuels</v>
      </c>
      <c r="C219" s="9" t="str">
        <f>VLOOKUP($H2,'Required Budget Information'!$D$2:$O$104,6,FALSE)</f>
        <v>(857) 206-3338</v>
      </c>
      <c r="D219" s="9" t="str">
        <f>VLOOKUP($H2,'Required Budget Information'!$D$2:$O$104,7,FALSE)</f>
        <v>maxsam@terpmail.umd.edu</v>
      </c>
      <c r="E219" s="9" t="str">
        <f>VLOOKUP($H2,'Required Budget Information'!$D$2:$O$104,8,FALSE)</f>
        <v>Jannah Laserson</v>
      </c>
      <c r="F219" s="9" t="str">
        <f>VLOOKUP($H2,'Required Budget Information'!$D$2:$O$104,9,FALSE)</f>
        <v>(216) 849-3384</v>
      </c>
      <c r="G219" s="9" t="str">
        <f>VLOOKUP($H2,'Required Budget Information'!$D$2:$O$104,10,FALSE)</f>
        <v>lasersonj@gmail.com</v>
      </c>
      <c r="H219" s="8" t="s">
        <v>67</v>
      </c>
      <c r="I219" s="8" t="s">
        <v>42</v>
      </c>
      <c r="J219" s="10">
        <f>VLOOKUP($H2,'Required Budget Information'!$D$2:$O$104,12,FALSE)</f>
        <v>42988</v>
      </c>
      <c r="K219" s="8" t="s">
        <v>582</v>
      </c>
      <c r="L219" s="8">
        <v>21330</v>
      </c>
      <c r="M219" s="11"/>
      <c r="N219" s="11"/>
      <c r="O219" s="11"/>
      <c r="P219" s="11" t="str">
        <f t="shared" si="3"/>
        <v/>
      </c>
    </row>
    <row r="220" spans="1:16" outlineLevel="1" x14ac:dyDescent="0.3">
      <c r="A220" s="4" t="s">
        <v>52</v>
      </c>
      <c r="B220" s="5" t="s">
        <v>1161</v>
      </c>
      <c r="C220" s="5" t="s">
        <v>1162</v>
      </c>
      <c r="D220" s="5" t="s">
        <v>1163</v>
      </c>
      <c r="E220" s="5" t="s">
        <v>1164</v>
      </c>
      <c r="F220" s="5" t="s">
        <v>1165</v>
      </c>
      <c r="G220" s="5" t="s">
        <v>1166</v>
      </c>
      <c r="H220" s="4" t="s">
        <v>53</v>
      </c>
      <c r="I220" s="4" t="s">
        <v>54</v>
      </c>
      <c r="J220" s="6">
        <v>42976</v>
      </c>
      <c r="K220" s="4" t="s">
        <v>552</v>
      </c>
      <c r="L220" s="4">
        <v>40</v>
      </c>
      <c r="M220" s="7"/>
      <c r="N220" s="7"/>
      <c r="O220" s="7"/>
      <c r="P220" s="7" t="str">
        <f t="shared" si="3"/>
        <v/>
      </c>
    </row>
    <row r="221" spans="1:16" outlineLevel="1" x14ac:dyDescent="0.3">
      <c r="A221" s="8" t="s">
        <v>52</v>
      </c>
      <c r="B221" s="9" t="s">
        <v>1161</v>
      </c>
      <c r="C221" s="9" t="s">
        <v>1162</v>
      </c>
      <c r="D221" s="9" t="s">
        <v>1163</v>
      </c>
      <c r="E221" s="9" t="s">
        <v>1164</v>
      </c>
      <c r="F221" s="9" t="s">
        <v>1165</v>
      </c>
      <c r="G221" s="9" t="s">
        <v>1166</v>
      </c>
      <c r="H221" s="8" t="s">
        <v>53</v>
      </c>
      <c r="I221" s="8" t="s">
        <v>54</v>
      </c>
      <c r="J221" s="10">
        <v>42976</v>
      </c>
      <c r="K221" s="8" t="s">
        <v>550</v>
      </c>
      <c r="L221" s="8">
        <v>460</v>
      </c>
      <c r="M221" s="11"/>
      <c r="N221" s="11"/>
      <c r="O221" s="11"/>
      <c r="P221" s="11" t="str">
        <f t="shared" si="3"/>
        <v/>
      </c>
    </row>
    <row r="222" spans="1:16" outlineLevel="1" x14ac:dyDescent="0.3">
      <c r="A222" s="4" t="s">
        <v>52</v>
      </c>
      <c r="B222" s="5" t="s">
        <v>1161</v>
      </c>
      <c r="C222" s="5" t="s">
        <v>1162</v>
      </c>
      <c r="D222" s="5" t="s">
        <v>1163</v>
      </c>
      <c r="E222" s="5" t="s">
        <v>1164</v>
      </c>
      <c r="F222" s="5" t="s">
        <v>1165</v>
      </c>
      <c r="G222" s="5" t="s">
        <v>1166</v>
      </c>
      <c r="H222" s="4" t="s">
        <v>53</v>
      </c>
      <c r="I222" s="4" t="s">
        <v>54</v>
      </c>
      <c r="J222" s="6">
        <v>42976</v>
      </c>
      <c r="K222" s="4" t="s">
        <v>556</v>
      </c>
      <c r="L222" s="4">
        <v>800</v>
      </c>
      <c r="M222" s="7"/>
      <c r="N222" s="7"/>
      <c r="O222" s="7"/>
      <c r="P222" s="7" t="str">
        <f t="shared" si="3"/>
        <v/>
      </c>
    </row>
    <row r="223" spans="1:16" outlineLevel="1" x14ac:dyDescent="0.3">
      <c r="A223" s="8" t="s">
        <v>36</v>
      </c>
      <c r="B223" s="9" t="s">
        <v>1169</v>
      </c>
      <c r="C223" s="9" t="s">
        <v>1170</v>
      </c>
      <c r="D223" s="9" t="s">
        <v>1171</v>
      </c>
      <c r="E223" s="9" t="s">
        <v>1172</v>
      </c>
      <c r="F223" s="9" t="s">
        <v>1173</v>
      </c>
      <c r="G223" s="9" t="s">
        <v>1174</v>
      </c>
      <c r="H223" s="8" t="s">
        <v>37</v>
      </c>
      <c r="I223" s="8" t="s">
        <v>38</v>
      </c>
      <c r="J223" s="10">
        <v>43010</v>
      </c>
      <c r="K223" s="8" t="s">
        <v>563</v>
      </c>
      <c r="L223" s="8">
        <v>83.33</v>
      </c>
      <c r="M223" s="11"/>
      <c r="N223" s="11"/>
      <c r="O223" s="11"/>
      <c r="P223" s="11" t="str">
        <f t="shared" si="3"/>
        <v/>
      </c>
    </row>
    <row r="224" spans="1:16" outlineLevel="1" x14ac:dyDescent="0.3">
      <c r="A224" s="4" t="s">
        <v>36</v>
      </c>
      <c r="B224" s="5" t="s">
        <v>1169</v>
      </c>
      <c r="C224" s="5" t="s">
        <v>1170</v>
      </c>
      <c r="D224" s="5" t="s">
        <v>1171</v>
      </c>
      <c r="E224" s="5" t="s">
        <v>1172</v>
      </c>
      <c r="F224" s="5" t="s">
        <v>1173</v>
      </c>
      <c r="G224" s="5" t="s">
        <v>1174</v>
      </c>
      <c r="H224" s="4" t="s">
        <v>37</v>
      </c>
      <c r="I224" s="4" t="s">
        <v>38</v>
      </c>
      <c r="J224" s="6">
        <v>43010</v>
      </c>
      <c r="K224" s="4" t="s">
        <v>561</v>
      </c>
      <c r="L224" s="4">
        <v>45</v>
      </c>
      <c r="M224" s="7"/>
      <c r="N224" s="7"/>
      <c r="O224" s="7"/>
      <c r="P224" s="7" t="str">
        <f t="shared" si="3"/>
        <v/>
      </c>
    </row>
    <row r="225" spans="1:16" outlineLevel="1" x14ac:dyDescent="0.3">
      <c r="A225" s="8" t="s">
        <v>34</v>
      </c>
      <c r="B225" s="9" t="str">
        <f>VLOOKUP($H2,'Required Budget Information'!$D$2:$O$104,5,FALSE)</f>
        <v>Amitai Max Samuels</v>
      </c>
      <c r="C225" s="9" t="str">
        <f>VLOOKUP($H2,'Required Budget Information'!$D$2:$O$104,6,FALSE)</f>
        <v>(857) 206-3338</v>
      </c>
      <c r="D225" s="9" t="str">
        <f>VLOOKUP($H2,'Required Budget Information'!$D$2:$O$104,7,FALSE)</f>
        <v>maxsam@terpmail.umd.edu</v>
      </c>
      <c r="E225" s="9" t="str">
        <f>VLOOKUP($H2,'Required Budget Information'!$D$2:$O$104,8,FALSE)</f>
        <v>Jannah Laserson</v>
      </c>
      <c r="F225" s="9" t="str">
        <f>VLOOKUP($H2,'Required Budget Information'!$D$2:$O$104,9,FALSE)</f>
        <v>(216) 849-3384</v>
      </c>
      <c r="G225" s="9" t="str">
        <f>VLOOKUP($H2,'Required Budget Information'!$D$2:$O$104,10,FALSE)</f>
        <v>lasersonj@gmail.com</v>
      </c>
      <c r="H225" s="8" t="s">
        <v>23</v>
      </c>
      <c r="I225" s="8" t="s">
        <v>24</v>
      </c>
      <c r="J225" s="10">
        <f>VLOOKUP($H2,'Required Budget Information'!$D$2:$O$104,12,FALSE)</f>
        <v>42988</v>
      </c>
      <c r="K225" s="8" t="s">
        <v>582</v>
      </c>
      <c r="L225" s="8">
        <v>2046.88</v>
      </c>
      <c r="M225" s="11"/>
      <c r="N225" s="11"/>
      <c r="O225" s="11"/>
      <c r="P225" s="11" t="str">
        <f t="shared" si="3"/>
        <v/>
      </c>
    </row>
    <row r="226" spans="1:16" outlineLevel="1" x14ac:dyDescent="0.3">
      <c r="A226" s="4" t="s">
        <v>29</v>
      </c>
      <c r="B226" s="5" t="str">
        <f>VLOOKUP($H2,'Required Budget Information'!$D$2:$O$104,5,FALSE)</f>
        <v>Amitai Max Samuels</v>
      </c>
      <c r="C226" s="5" t="str">
        <f>VLOOKUP($H2,'Required Budget Information'!$D$2:$O$104,6,FALSE)</f>
        <v>(857) 206-3338</v>
      </c>
      <c r="D226" s="5" t="str">
        <f>VLOOKUP($H2,'Required Budget Information'!$D$2:$O$104,7,FALSE)</f>
        <v>maxsam@terpmail.umd.edu</v>
      </c>
      <c r="E226" s="5" t="str">
        <f>VLOOKUP($H2,'Required Budget Information'!$D$2:$O$104,8,FALSE)</f>
        <v>Jannah Laserson</v>
      </c>
      <c r="F226" s="5" t="str">
        <f>VLOOKUP($H2,'Required Budget Information'!$D$2:$O$104,9,FALSE)</f>
        <v>(216) 849-3384</v>
      </c>
      <c r="G226" s="5" t="str">
        <f>VLOOKUP($H2,'Required Budget Information'!$D$2:$O$104,10,FALSE)</f>
        <v>lasersonj@gmail.com</v>
      </c>
      <c r="H226" s="4" t="s">
        <v>31</v>
      </c>
      <c r="I226" s="4" t="s">
        <v>32</v>
      </c>
      <c r="J226" s="6">
        <f>VLOOKUP($H2,'Required Budget Information'!$D$2:$O$104,12,FALSE)</f>
        <v>42988</v>
      </c>
      <c r="K226" s="4" t="s">
        <v>556</v>
      </c>
      <c r="L226" s="4">
        <v>1250</v>
      </c>
      <c r="M226" s="7"/>
      <c r="N226" s="7"/>
      <c r="O226" s="7"/>
      <c r="P226" s="7" t="str">
        <f t="shared" si="3"/>
        <v/>
      </c>
    </row>
    <row r="227" spans="1:16" outlineLevel="1" x14ac:dyDescent="0.3">
      <c r="A227" s="8" t="s">
        <v>29</v>
      </c>
      <c r="B227" s="9" t="str">
        <f>VLOOKUP($H2,'Required Budget Information'!$D$2:$O$104,5,FALSE)</f>
        <v>Amitai Max Samuels</v>
      </c>
      <c r="C227" s="9" t="str">
        <f>VLOOKUP($H2,'Required Budget Information'!$D$2:$O$104,6,FALSE)</f>
        <v>(857) 206-3338</v>
      </c>
      <c r="D227" s="9" t="str">
        <f>VLOOKUP($H2,'Required Budget Information'!$D$2:$O$104,7,FALSE)</f>
        <v>maxsam@terpmail.umd.edu</v>
      </c>
      <c r="E227" s="9" t="str">
        <f>VLOOKUP($H2,'Required Budget Information'!$D$2:$O$104,8,FALSE)</f>
        <v>Jannah Laserson</v>
      </c>
      <c r="F227" s="9" t="str">
        <f>VLOOKUP($H2,'Required Budget Information'!$D$2:$O$104,9,FALSE)</f>
        <v>(216) 849-3384</v>
      </c>
      <c r="G227" s="9" t="str">
        <f>VLOOKUP($H2,'Required Budget Information'!$D$2:$O$104,10,FALSE)</f>
        <v>lasersonj@gmail.com</v>
      </c>
      <c r="H227" s="8" t="s">
        <v>31</v>
      </c>
      <c r="I227" s="8" t="s">
        <v>32</v>
      </c>
      <c r="J227" s="10">
        <f>VLOOKUP($H2,'Required Budget Information'!$D$2:$O$104,12,FALSE)</f>
        <v>42988</v>
      </c>
      <c r="K227" s="8" t="s">
        <v>556</v>
      </c>
      <c r="L227" s="8">
        <v>150</v>
      </c>
      <c r="M227" s="11"/>
      <c r="N227" s="11"/>
      <c r="O227" s="11"/>
      <c r="P227" s="11" t="str">
        <f t="shared" si="3"/>
        <v/>
      </c>
    </row>
    <row r="228" spans="1:16" outlineLevel="1" x14ac:dyDescent="0.3">
      <c r="A228" s="4" t="s">
        <v>29</v>
      </c>
      <c r="B228" s="5" t="str">
        <f>VLOOKUP($H2,'Required Budget Information'!$D$2:$O$104,5,FALSE)</f>
        <v>Amitai Max Samuels</v>
      </c>
      <c r="C228" s="5" t="str">
        <f>VLOOKUP($H2,'Required Budget Information'!$D$2:$O$104,6,FALSE)</f>
        <v>(857) 206-3338</v>
      </c>
      <c r="D228" s="5" t="str">
        <f>VLOOKUP($H2,'Required Budget Information'!$D$2:$O$104,7,FALSE)</f>
        <v>maxsam@terpmail.umd.edu</v>
      </c>
      <c r="E228" s="5" t="str">
        <f>VLOOKUP($H2,'Required Budget Information'!$D$2:$O$104,8,FALSE)</f>
        <v>Jannah Laserson</v>
      </c>
      <c r="F228" s="5" t="str">
        <f>VLOOKUP($H2,'Required Budget Information'!$D$2:$O$104,9,FALSE)</f>
        <v>(216) 849-3384</v>
      </c>
      <c r="G228" s="5" t="str">
        <f>VLOOKUP($H2,'Required Budget Information'!$D$2:$O$104,10,FALSE)</f>
        <v>lasersonj@gmail.com</v>
      </c>
      <c r="H228" s="4" t="s">
        <v>31</v>
      </c>
      <c r="I228" s="4" t="s">
        <v>32</v>
      </c>
      <c r="J228" s="6">
        <f>VLOOKUP($H2,'Required Budget Information'!$D$2:$O$104,12,FALSE)</f>
        <v>42988</v>
      </c>
      <c r="K228" s="4" t="s">
        <v>556</v>
      </c>
      <c r="L228" s="4">
        <v>100</v>
      </c>
      <c r="M228" s="7"/>
      <c r="N228" s="7"/>
      <c r="O228" s="7"/>
      <c r="P228" s="7" t="str">
        <f t="shared" si="3"/>
        <v/>
      </c>
    </row>
    <row r="229" spans="1:16" outlineLevel="1" x14ac:dyDescent="0.3">
      <c r="A229" s="8" t="s">
        <v>29</v>
      </c>
      <c r="B229" s="9" t="str">
        <f>VLOOKUP($H2,'Required Budget Information'!$D$2:$O$104,5,FALSE)</f>
        <v>Amitai Max Samuels</v>
      </c>
      <c r="C229" s="9" t="str">
        <f>VLOOKUP($H2,'Required Budget Information'!$D$2:$O$104,6,FALSE)</f>
        <v>(857) 206-3338</v>
      </c>
      <c r="D229" s="9" t="str">
        <f>VLOOKUP($H2,'Required Budget Information'!$D$2:$O$104,7,FALSE)</f>
        <v>maxsam@terpmail.umd.edu</v>
      </c>
      <c r="E229" s="9" t="str">
        <f>VLOOKUP($H2,'Required Budget Information'!$D$2:$O$104,8,FALSE)</f>
        <v>Jannah Laserson</v>
      </c>
      <c r="F229" s="9" t="str">
        <f>VLOOKUP($H2,'Required Budget Information'!$D$2:$O$104,9,FALSE)</f>
        <v>(216) 849-3384</v>
      </c>
      <c r="G229" s="9" t="str">
        <f>VLOOKUP($H2,'Required Budget Information'!$D$2:$O$104,10,FALSE)</f>
        <v>lasersonj@gmail.com</v>
      </c>
      <c r="H229" s="8" t="s">
        <v>31</v>
      </c>
      <c r="I229" s="8" t="s">
        <v>32</v>
      </c>
      <c r="J229" s="10">
        <f>VLOOKUP($H2,'Required Budget Information'!$D$2:$O$104,12,FALSE)</f>
        <v>42988</v>
      </c>
      <c r="K229" s="8" t="s">
        <v>556</v>
      </c>
      <c r="L229" s="8">
        <v>300</v>
      </c>
      <c r="M229" s="11"/>
      <c r="N229" s="11"/>
      <c r="O229" s="11"/>
      <c r="P229" s="11" t="str">
        <f t="shared" si="3"/>
        <v/>
      </c>
    </row>
    <row r="230" spans="1:16" outlineLevel="1" x14ac:dyDescent="0.3">
      <c r="A230" s="4" t="s">
        <v>29</v>
      </c>
      <c r="B230" s="5" t="str">
        <f>VLOOKUP($H2,'Required Budget Information'!$D$2:$O$104,5,FALSE)</f>
        <v>Amitai Max Samuels</v>
      </c>
      <c r="C230" s="5" t="str">
        <f>VLOOKUP($H2,'Required Budget Information'!$D$2:$O$104,6,FALSE)</f>
        <v>(857) 206-3338</v>
      </c>
      <c r="D230" s="5" t="str">
        <f>VLOOKUP($H2,'Required Budget Information'!$D$2:$O$104,7,FALSE)</f>
        <v>maxsam@terpmail.umd.edu</v>
      </c>
      <c r="E230" s="5" t="str">
        <f>VLOOKUP($H2,'Required Budget Information'!$D$2:$O$104,8,FALSE)</f>
        <v>Jannah Laserson</v>
      </c>
      <c r="F230" s="5" t="str">
        <f>VLOOKUP($H2,'Required Budget Information'!$D$2:$O$104,9,FALSE)</f>
        <v>(216) 849-3384</v>
      </c>
      <c r="G230" s="5" t="str">
        <f>VLOOKUP($H2,'Required Budget Information'!$D$2:$O$104,10,FALSE)</f>
        <v>lasersonj@gmail.com</v>
      </c>
      <c r="H230" s="4" t="s">
        <v>31</v>
      </c>
      <c r="I230" s="4" t="s">
        <v>32</v>
      </c>
      <c r="J230" s="6">
        <f>VLOOKUP($H2,'Required Budget Information'!$D$2:$O$104,12,FALSE)</f>
        <v>42988</v>
      </c>
      <c r="K230" s="4" t="s">
        <v>556</v>
      </c>
      <c r="L230" s="4">
        <v>150</v>
      </c>
      <c r="M230" s="7"/>
      <c r="N230" s="7"/>
      <c r="O230" s="7"/>
      <c r="P230" s="7" t="str">
        <f t="shared" si="3"/>
        <v/>
      </c>
    </row>
    <row r="231" spans="1:16" outlineLevel="1" x14ac:dyDescent="0.3">
      <c r="A231" s="8" t="s">
        <v>29</v>
      </c>
      <c r="B231" s="9" t="str">
        <f>VLOOKUP($H2,'Required Budget Information'!$D$2:$O$104,5,FALSE)</f>
        <v>Amitai Max Samuels</v>
      </c>
      <c r="C231" s="9" t="str">
        <f>VLOOKUP($H2,'Required Budget Information'!$D$2:$O$104,6,FALSE)</f>
        <v>(857) 206-3338</v>
      </c>
      <c r="D231" s="9" t="str">
        <f>VLOOKUP($H2,'Required Budget Information'!$D$2:$O$104,7,FALSE)</f>
        <v>maxsam@terpmail.umd.edu</v>
      </c>
      <c r="E231" s="9" t="str">
        <f>VLOOKUP($H2,'Required Budget Information'!$D$2:$O$104,8,FALSE)</f>
        <v>Jannah Laserson</v>
      </c>
      <c r="F231" s="9" t="str">
        <f>VLOOKUP($H2,'Required Budget Information'!$D$2:$O$104,9,FALSE)</f>
        <v>(216) 849-3384</v>
      </c>
      <c r="G231" s="9" t="str">
        <f>VLOOKUP($H2,'Required Budget Information'!$D$2:$O$104,10,FALSE)</f>
        <v>lasersonj@gmail.com</v>
      </c>
      <c r="H231" s="8" t="s">
        <v>31</v>
      </c>
      <c r="I231" s="8" t="s">
        <v>32</v>
      </c>
      <c r="J231" s="10">
        <f>VLOOKUP($H2,'Required Budget Information'!$D$2:$O$104,12,FALSE)</f>
        <v>42988</v>
      </c>
      <c r="K231" s="8" t="s">
        <v>556</v>
      </c>
      <c r="L231" s="8">
        <v>300</v>
      </c>
      <c r="M231" s="11"/>
      <c r="N231" s="11"/>
      <c r="O231" s="11"/>
      <c r="P231" s="11" t="str">
        <f t="shared" si="3"/>
        <v/>
      </c>
    </row>
    <row r="232" spans="1:16" outlineLevel="1" x14ac:dyDescent="0.3">
      <c r="A232" s="4" t="s">
        <v>20</v>
      </c>
      <c r="B232" s="5" t="s">
        <v>1185</v>
      </c>
      <c r="C232" s="5" t="s">
        <v>1186</v>
      </c>
      <c r="D232" s="5" t="s">
        <v>1187</v>
      </c>
      <c r="E232" s="5" t="s">
        <v>1188</v>
      </c>
      <c r="F232" s="5" t="s">
        <v>1189</v>
      </c>
      <c r="G232" s="5" t="s">
        <v>1190</v>
      </c>
      <c r="H232" s="4" t="s">
        <v>11</v>
      </c>
      <c r="I232" s="4" t="s">
        <v>21</v>
      </c>
      <c r="J232" s="6">
        <v>42917</v>
      </c>
      <c r="K232" s="4" t="s">
        <v>635</v>
      </c>
      <c r="L232" s="4">
        <v>1332</v>
      </c>
      <c r="M232" s="7"/>
      <c r="N232" s="7"/>
      <c r="O232" s="7"/>
      <c r="P232" s="7" t="str">
        <f t="shared" si="3"/>
        <v/>
      </c>
    </row>
    <row r="233" spans="1:16" outlineLevel="1" x14ac:dyDescent="0.3">
      <c r="A233" s="8" t="s">
        <v>17</v>
      </c>
      <c r="B233" s="9" t="s">
        <v>1185</v>
      </c>
      <c r="C233" s="9" t="s">
        <v>1186</v>
      </c>
      <c r="D233" s="9" t="s">
        <v>1187</v>
      </c>
      <c r="E233" s="9" t="s">
        <v>1188</v>
      </c>
      <c r="F233" s="9" t="s">
        <v>1189</v>
      </c>
      <c r="G233" s="9" t="s">
        <v>1190</v>
      </c>
      <c r="H233" s="8" t="s">
        <v>11</v>
      </c>
      <c r="I233" s="8" t="s">
        <v>18</v>
      </c>
      <c r="J233" s="10">
        <v>42917</v>
      </c>
      <c r="K233" s="8" t="s">
        <v>561</v>
      </c>
      <c r="L233" s="8">
        <v>1000</v>
      </c>
      <c r="M233" s="11"/>
      <c r="N233" s="11"/>
      <c r="O233" s="11"/>
      <c r="P233" s="11" t="str">
        <f t="shared" si="3"/>
        <v/>
      </c>
    </row>
    <row r="234" spans="1:16" outlineLevel="1" x14ac:dyDescent="0.3">
      <c r="A234" s="4" t="s">
        <v>14</v>
      </c>
      <c r="B234" s="5" t="s">
        <v>1185</v>
      </c>
      <c r="C234" s="5" t="s">
        <v>1186</v>
      </c>
      <c r="D234" s="5" t="s">
        <v>1187</v>
      </c>
      <c r="E234" s="5" t="s">
        <v>1188</v>
      </c>
      <c r="F234" s="5" t="s">
        <v>1189</v>
      </c>
      <c r="G234" s="5" t="s">
        <v>1190</v>
      </c>
      <c r="H234" s="4" t="s">
        <v>11</v>
      </c>
      <c r="I234" s="4" t="s">
        <v>15</v>
      </c>
      <c r="J234" s="6">
        <v>42917</v>
      </c>
      <c r="K234" s="4" t="s">
        <v>556</v>
      </c>
      <c r="L234" s="4">
        <v>10181</v>
      </c>
      <c r="M234" s="7"/>
      <c r="N234" s="7"/>
      <c r="O234" s="7"/>
      <c r="P234" s="7" t="str">
        <f t="shared" si="3"/>
        <v/>
      </c>
    </row>
    <row r="235" spans="1:16" outlineLevel="1" x14ac:dyDescent="0.3">
      <c r="A235" s="8" t="s">
        <v>14</v>
      </c>
      <c r="B235" s="9" t="s">
        <v>1185</v>
      </c>
      <c r="C235" s="9" t="s">
        <v>1186</v>
      </c>
      <c r="D235" s="9" t="s">
        <v>1187</v>
      </c>
      <c r="E235" s="9" t="s">
        <v>1188</v>
      </c>
      <c r="F235" s="9" t="s">
        <v>1189</v>
      </c>
      <c r="G235" s="9" t="s">
        <v>1190</v>
      </c>
      <c r="H235" s="8" t="s">
        <v>11</v>
      </c>
      <c r="I235" s="8" t="s">
        <v>15</v>
      </c>
      <c r="J235" s="10">
        <v>42917</v>
      </c>
      <c r="K235" s="8" t="s">
        <v>556</v>
      </c>
      <c r="L235" s="8">
        <v>10181</v>
      </c>
      <c r="M235" s="11"/>
      <c r="N235" s="11"/>
      <c r="O235" s="11"/>
      <c r="P235" s="11" t="str">
        <f t="shared" si="3"/>
        <v/>
      </c>
    </row>
    <row r="236" spans="1:16" outlineLevel="1" x14ac:dyDescent="0.3">
      <c r="A236" s="4" t="s">
        <v>14</v>
      </c>
      <c r="B236" s="5" t="s">
        <v>1185</v>
      </c>
      <c r="C236" s="5" t="s">
        <v>1186</v>
      </c>
      <c r="D236" s="5" t="s">
        <v>1187</v>
      </c>
      <c r="E236" s="5" t="s">
        <v>1188</v>
      </c>
      <c r="F236" s="5" t="s">
        <v>1189</v>
      </c>
      <c r="G236" s="5" t="s">
        <v>1190</v>
      </c>
      <c r="H236" s="4" t="s">
        <v>11</v>
      </c>
      <c r="I236" s="4" t="s">
        <v>15</v>
      </c>
      <c r="J236" s="6">
        <v>42917</v>
      </c>
      <c r="K236" s="4" t="s">
        <v>561</v>
      </c>
      <c r="L236" s="4">
        <v>1000</v>
      </c>
      <c r="M236" s="7"/>
      <c r="N236" s="7"/>
      <c r="O236" s="7"/>
      <c r="P236" s="7" t="str">
        <f t="shared" si="3"/>
        <v/>
      </c>
    </row>
    <row r="237" spans="1:16" outlineLevel="1" x14ac:dyDescent="0.3">
      <c r="A237" s="8" t="s">
        <v>9</v>
      </c>
      <c r="B237" s="9" t="s">
        <v>1185</v>
      </c>
      <c r="C237" s="9" t="s">
        <v>1186</v>
      </c>
      <c r="D237" s="9" t="s">
        <v>1187</v>
      </c>
      <c r="E237" s="9" t="s">
        <v>1188</v>
      </c>
      <c r="F237" s="9" t="s">
        <v>1189</v>
      </c>
      <c r="G237" s="9" t="s">
        <v>1190</v>
      </c>
      <c r="H237" s="8" t="s">
        <v>11</v>
      </c>
      <c r="I237" s="8" t="s">
        <v>12</v>
      </c>
      <c r="J237" s="10">
        <v>42917</v>
      </c>
      <c r="K237" s="8" t="s">
        <v>556</v>
      </c>
      <c r="L237" s="8">
        <v>7142.15</v>
      </c>
      <c r="M237" s="11"/>
      <c r="N237" s="11"/>
      <c r="O237" s="11"/>
      <c r="P237" s="11" t="str">
        <f t="shared" si="3"/>
        <v/>
      </c>
    </row>
    <row r="238" spans="1:16" outlineLevel="1" x14ac:dyDescent="0.3">
      <c r="A238" s="4" t="s">
        <v>9</v>
      </c>
      <c r="B238" s="5" t="s">
        <v>1185</v>
      </c>
      <c r="C238" s="5" t="s">
        <v>1186</v>
      </c>
      <c r="D238" s="5" t="s">
        <v>1187</v>
      </c>
      <c r="E238" s="5" t="s">
        <v>1188</v>
      </c>
      <c r="F238" s="5" t="s">
        <v>1189</v>
      </c>
      <c r="G238" s="5" t="s">
        <v>1190</v>
      </c>
      <c r="H238" s="4" t="s">
        <v>11</v>
      </c>
      <c r="I238" s="4" t="s">
        <v>12</v>
      </c>
      <c r="J238" s="6">
        <v>42917</v>
      </c>
      <c r="K238" s="4" t="s">
        <v>556</v>
      </c>
      <c r="L238" s="4">
        <v>39336.44</v>
      </c>
      <c r="M238" s="7"/>
      <c r="N238" s="7"/>
      <c r="O238" s="7"/>
      <c r="P238" s="7" t="str">
        <f t="shared" si="3"/>
        <v/>
      </c>
    </row>
    <row r="239" spans="1:16" outlineLevel="1" x14ac:dyDescent="0.3">
      <c r="A239" s="8" t="s">
        <v>9</v>
      </c>
      <c r="B239" s="9" t="s">
        <v>1185</v>
      </c>
      <c r="C239" s="9" t="s">
        <v>1186</v>
      </c>
      <c r="D239" s="9" t="s">
        <v>1187</v>
      </c>
      <c r="E239" s="9" t="s">
        <v>1188</v>
      </c>
      <c r="F239" s="9" t="s">
        <v>1189</v>
      </c>
      <c r="G239" s="9" t="s">
        <v>1190</v>
      </c>
      <c r="H239" s="8" t="s">
        <v>11</v>
      </c>
      <c r="I239" s="8" t="s">
        <v>12</v>
      </c>
      <c r="J239" s="10">
        <v>42917</v>
      </c>
      <c r="K239" s="8" t="s">
        <v>556</v>
      </c>
      <c r="L239" s="8">
        <v>3572.07</v>
      </c>
      <c r="M239" s="11"/>
      <c r="N239" s="11"/>
      <c r="O239" s="11"/>
      <c r="P239" s="11" t="str">
        <f t="shared" si="3"/>
        <v/>
      </c>
    </row>
    <row r="240" spans="1:16" x14ac:dyDescent="0.3">
      <c r="A240" s="4"/>
      <c r="B240" s="5"/>
      <c r="C240" s="5"/>
      <c r="D240" s="5"/>
      <c r="E240" s="5"/>
      <c r="F240" s="5"/>
      <c r="G240" s="5"/>
      <c r="H240" s="4"/>
      <c r="I240" s="4"/>
      <c r="J240" s="6"/>
      <c r="K240" s="4"/>
      <c r="L240" s="4">
        <v>386029.19000000006</v>
      </c>
      <c r="M240" s="5"/>
      <c r="N240" s="5"/>
      <c r="O240" s="5"/>
      <c r="P24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Run</vt:lpstr>
      <vt:lpstr>BMS Requests</vt:lpstr>
      <vt:lpstr>Budget Status</vt:lpstr>
      <vt:lpstr>Required Budget Information</vt:lpstr>
      <vt:lpstr>Master Tracker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2017-04-09T05:30:39Z</dcterms:modified>
</cp:coreProperties>
</file>